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tables/table6.xml" ContentType="application/vnd.openxmlformats-officedocument.spreadsheetml.table+xml"/>
  <Override PartName="/xl/comments6.xml" ContentType="application/vnd.openxmlformats-officedocument.spreadsheetml.comments+xml"/>
  <Override PartName="/xl/drawings/drawing5.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bookViews>
    <workbookView xWindow="0" yWindow="120" windowWidth="23040" windowHeight="10725"/>
  </bookViews>
  <sheets>
    <sheet name="TormekCalc" sheetId="10" r:id="rId1"/>
    <sheet name="Knives" sheetId="31" r:id="rId2"/>
    <sheet name="Tools" sheetId="22" r:id="rId3"/>
    <sheet name="BevelCalc" sheetId="11" r:id="rId4"/>
    <sheet name="EdgeCalc" sheetId="23" r:id="rId5"/>
    <sheet name="Jigs" sheetId="26" r:id="rId6"/>
    <sheet name="Settings" sheetId="27" r:id="rId7"/>
    <sheet name="FAQ" sheetId="28" r:id="rId8"/>
  </sheets>
  <definedNames>
    <definedName name="ConstantHH">TormekCalc!$C$19</definedName>
    <definedName name="ConstantHV">TormekCalc!$C$17</definedName>
    <definedName name="ConstantVF">TormekCalc!$C$22</definedName>
    <definedName name="ConstantVH">TormekCalc!$C$20</definedName>
    <definedName name="ConstantVV">TormekCalc!$C$18</definedName>
    <definedName name="DefaultConstantFVBBody">Settings!$F$16</definedName>
    <definedName name="DefaultConstantHH">Settings!$F$14</definedName>
    <definedName name="DefaultConstantHV">Settings!$F$12</definedName>
    <definedName name="DefaultConstantVF">Settings!$F$17</definedName>
    <definedName name="DefaultConstantVH">Settings!$F$15</definedName>
    <definedName name="DefaultConstantVV">Settings!$F$13</definedName>
    <definedName name="DefaultEdgeThickness">Settings!$F$21</definedName>
    <definedName name="DefaultFVBDistance">Settings!$F$9</definedName>
    <definedName name="DefaultGA">Settings!$F$6</definedName>
    <definedName name="DefaultJPL">Settings!$F$5</definedName>
    <definedName name="DefaultKJD">Settings!$F$7</definedName>
    <definedName name="DefaultTJD">Settings!$F$8</definedName>
    <definedName name="DefaultUSBDia">Settings!$F$11</definedName>
    <definedName name="DefaultWheelDia">Settings!$F$20</definedName>
    <definedName name="EmptyData">Settings!$F$33</definedName>
    <definedName name="FVBOffset">TormekCalc!$C$13</definedName>
    <definedName name="InCellName01">Settings!$C$5</definedName>
    <definedName name="InCellName02">Settings!$C$6</definedName>
    <definedName name="JigsAll">Jigs!$W$6:INDEX(Jigs!$W$6:$W$55,COUNTIF(Jigs!$W$6:$W$55,"?*"))</definedName>
    <definedName name="JigsKnivesDList">Jigs!$S$6:INDEX(Jigs!$S$6:$S$55,COUNTIF(Jigs!$S$6:$S$55,"?*"))</definedName>
    <definedName name="JigsToolsAllDList">Jigs!$V$6:INDEX(Jigs!$V$6:$V$55,COUNTIF(Jigs!$V$6:$V$55,"?*"))</definedName>
    <definedName name="JigsToolsDList">Jigs!$T$6:INDEX(Jigs!$T$6:$T$55,COUNTIF(Jigs!$T$6:$T$55,"?*"))</definedName>
    <definedName name="KnivesDList" comment="=POSUN(Knives!$AG$4;0;0;COUNTIF(Knives!$AG:$AG;&quot;?*&quot;)-1;1)        =POSUN(KnivesListTable[[#Záhlaví];[KnivesList]];1;0;COUNTIFS(KnivesListTable[KnivesList];&quot;?*&quot;);1)">OFFSET(KnivesListTable[[#Headers],[KnivesList]],1,0,COUNTIFS(KnivesListTable[KnivesList],"?*"),1)</definedName>
    <definedName name="KnivesGrindDList">OFFSET(GrindTypesTable[[#Headers],[Knives grind]],1,0,COUNTIFS(GrindTypesTable[Knives grind],"?*"),1)</definedName>
    <definedName name="MachinesAO">Settings!$H$24</definedName>
    <definedName name="MachinesCG">Settings!$H$23</definedName>
    <definedName name="MachinesConstantFVBBody">Settings!$H$15</definedName>
    <definedName name="MachinesConstantHF">Settings!$H$17</definedName>
    <definedName name="MachinesConstantHH">Settings!$H$13</definedName>
    <definedName name="MachinesConstantHV">Settings!$H$11</definedName>
    <definedName name="MachinesConstantVF">Settings!$H$16</definedName>
    <definedName name="MachinesConstantVH">Settings!$H$14</definedName>
    <definedName name="MachinesConstantVV">Settings!$H$12</definedName>
    <definedName name="MachinesDList" comment="=NEPŘÍMÝ.ODKAZ(&quot;Machines[[#Záhlaví];[Machine 1]:[Machine &quot;&amp;COUNTIFS(POSUN(Machines[#Záhlaví];2;0);&quot;&lt;&gt;&quot;)-1&amp;&quot;]]&quot;)">IF(COUNTIFS(OFFSET(Machines[#Headers],2,1),"&lt;&gt;")=0,"",OFFSET(Machines[[#Headers],[Setting description]],0,1):INDEX(OFFSET(Machines[#Headers],0,1),COUNTIFS(OFFSET(Machines[#Headers],2,1),"?*")))</definedName>
    <definedName name="MachinesUSBDia">Settings!$H$10</definedName>
    <definedName name="Max_H_HFUSB_105">Settings!$F$27</definedName>
    <definedName name="Max_H_HFUSB_430">Settings!$F$31</definedName>
    <definedName name="Max_H_VUSB_105">Settings!$F$25</definedName>
    <definedName name="Max_H_VUSB_430">Settings!$F$29</definedName>
    <definedName name="Min_FVB_Distance">Settings!$F$23</definedName>
    <definedName name="Min_H_HFUSB_105">Settings!$F$26</definedName>
    <definedName name="Min_H_HFUSB_430">Settings!$F$30</definedName>
    <definedName name="Min_H_VUSB_105">Settings!$F$24</definedName>
    <definedName name="Min_H_VUSB_430">Settings!$F$28</definedName>
    <definedName name="_xlnm.Print_Titles" localSheetId="1">Knives!$2:$3</definedName>
    <definedName name="_xlnm.Print_Titles" localSheetId="2">Tools!$2:$3</definedName>
    <definedName name="NotAvailable">Settings!$F$35</definedName>
    <definedName name="_xlnm.Print_Area" localSheetId="3">BevelCalc!$B$2:$D$43</definedName>
    <definedName name="_xlnm.Print_Area" localSheetId="4">EdgeCalc!$B$2:$D$25</definedName>
    <definedName name="_xlnm.Print_Area" localSheetId="7">FAQ!$B$2:$T$82</definedName>
    <definedName name="_xlnm.Print_Area" localSheetId="5">Jigs!$B$2:$J$150</definedName>
    <definedName name="_xlnm.Print_Area" localSheetId="2">Tools[]</definedName>
    <definedName name="_xlnm.Print_Area" localSheetId="0">TormekCalc!$B$2:$T$46</definedName>
    <definedName name="SetMachines">Settings!$F$34</definedName>
    <definedName name="SheetName01">Settings!$B$5</definedName>
    <definedName name="SheetName02">Settings!$B$6</definedName>
    <definedName name="ToolsDList" comment="=POSUN(Tools!$AG$4;0;0;COUNTIF(Tools!$AE:$AE;&quot;?*&quot;)-1;1)">OFFSET(ToolsListTable[[#Headers],[ToolsList]],1,0,COUNTIFS(ToolsListTable[ToolsList],"?*"),1)</definedName>
    <definedName name="ToolsGrindDList">OFFSET(GrindTypesTable[[#Headers],[Tools grind]],1,0,COUNTIFS(GrindTypesTable[Tools grind],"?*"),1)</definedName>
    <definedName name="VariableCG">TormekCalc!$C$27</definedName>
    <definedName name="VariableDK">TormekCalc!$C$28</definedName>
    <definedName name="VariableGA">TormekCalc!$C$11</definedName>
    <definedName name="VariableJC">TormekCalc!$C$26</definedName>
    <definedName name="VariableJG">TormekCalc!$C$25</definedName>
    <definedName name="VariableJPL">TormekCalc!$C$10</definedName>
    <definedName name="VariableJTD">TormekCalc!$C$12</definedName>
    <definedName name="VariableUSBDia">TormekCalc!$C$16</definedName>
    <definedName name="VariableVHF">TormekCalc!$C$21</definedName>
    <definedName name="WheelDList" comment="=TormekCalc!$G$6:INDEX(TormekCalc!$G$6:$T$6;COUNTIF(TormekCalc!$G$6:$T$6;&quot;?*&quot;))">OFFSET(Wheels[#All],2,1,1,1):INDEX(OFFSET(Wheels[#All],2,1,1),COUNTIFS(OFFSET(Wheels[#All],2,1,1),"?*"))</definedName>
    <definedName name="WheelsListX">TormekCalc!$G$4:$T$4</definedName>
  </definedNames>
  <calcPr calcId="145621"/>
</workbook>
</file>

<file path=xl/calcChain.xml><?xml version="1.0" encoding="utf-8"?>
<calcChain xmlns="http://schemas.openxmlformats.org/spreadsheetml/2006/main">
  <c r="B6" i="31" l="1"/>
  <c r="B6" i="22"/>
  <c r="AE5" i="22" l="1"/>
  <c r="B5" i="22"/>
  <c r="AE4" i="22"/>
  <c r="B4" i="22"/>
  <c r="AE4" i="31" l="1"/>
  <c r="AE5" i="31"/>
  <c r="AE6" i="31"/>
  <c r="AE7" i="31"/>
  <c r="AE8" i="31"/>
  <c r="AE9" i="31"/>
  <c r="AE10" i="31"/>
  <c r="AE11" i="31"/>
  <c r="AE12" i="31"/>
  <c r="AE13" i="31"/>
  <c r="AE14" i="31"/>
  <c r="AE15" i="31"/>
  <c r="AE16" i="31"/>
  <c r="AE17" i="31"/>
  <c r="AE18" i="31"/>
  <c r="AE19" i="31"/>
  <c r="AE20" i="31"/>
  <c r="AE21" i="31"/>
  <c r="AE22" i="31"/>
  <c r="AE23" i="31"/>
  <c r="AE24" i="31"/>
  <c r="AE25" i="31"/>
  <c r="AE26" i="31"/>
  <c r="AE27" i="31"/>
  <c r="AE28" i="31"/>
  <c r="AE29" i="31"/>
  <c r="AE30" i="31"/>
  <c r="AE31" i="31"/>
  <c r="AE32" i="31"/>
  <c r="AE33" i="31"/>
  <c r="AE34" i="31"/>
  <c r="AE35" i="31"/>
  <c r="AE36" i="31"/>
  <c r="AE37" i="31"/>
  <c r="AE38" i="31"/>
  <c r="AE39" i="31"/>
  <c r="AE40" i="31"/>
  <c r="AE41" i="31"/>
  <c r="AE42" i="31"/>
  <c r="AE43" i="31"/>
  <c r="AE44" i="31"/>
  <c r="AE45" i="31"/>
  <c r="AE46" i="31"/>
  <c r="AE47" i="31"/>
  <c r="AE48" i="31"/>
  <c r="AE49" i="31"/>
  <c r="AE50" i="31"/>
  <c r="AE51" i="31"/>
  <c r="AE52" i="31"/>
  <c r="AE53" i="31"/>
  <c r="AE54" i="31"/>
  <c r="AE55" i="31"/>
  <c r="AE56" i="31"/>
  <c r="AE57" i="31"/>
  <c r="AE58" i="31"/>
  <c r="AE59" i="31"/>
  <c r="AE60" i="31"/>
  <c r="AE61" i="31"/>
  <c r="AE62" i="31"/>
  <c r="AE63" i="31"/>
  <c r="AE64" i="31"/>
  <c r="AE65" i="31"/>
  <c r="AE66" i="31"/>
  <c r="AE67" i="31"/>
  <c r="AE68" i="31"/>
  <c r="AE69" i="31"/>
  <c r="AE70" i="31"/>
  <c r="AE71" i="31"/>
  <c r="AE72" i="31"/>
  <c r="AE73" i="31"/>
  <c r="AE74" i="31"/>
  <c r="AE75" i="31"/>
  <c r="AE76" i="31"/>
  <c r="AE77" i="31"/>
  <c r="AE78" i="31"/>
  <c r="AE79" i="31"/>
  <c r="AE80" i="31"/>
  <c r="AE81" i="31"/>
  <c r="AE82" i="31"/>
  <c r="AE83" i="31"/>
  <c r="AE84" i="31"/>
  <c r="AE85" i="31"/>
  <c r="AE86" i="31"/>
  <c r="AE87" i="31"/>
  <c r="AE88" i="31"/>
  <c r="AE89" i="31"/>
  <c r="AE90" i="31"/>
  <c r="AE91" i="31"/>
  <c r="AE92" i="31"/>
  <c r="AE93" i="31"/>
  <c r="AE94" i="31"/>
  <c r="AE95" i="31"/>
  <c r="AE96" i="31"/>
  <c r="AE97" i="31"/>
  <c r="AE98" i="31"/>
  <c r="AE99" i="31"/>
  <c r="AE100" i="31"/>
  <c r="AE101" i="31"/>
  <c r="AE102" i="31"/>
  <c r="AE103" i="31"/>
  <c r="AE104" i="31"/>
  <c r="AE105" i="31"/>
  <c r="AE106" i="31"/>
  <c r="AE107" i="31"/>
  <c r="AE108" i="31"/>
  <c r="AE109" i="31"/>
  <c r="AE110" i="31"/>
  <c r="AE111" i="31"/>
  <c r="AE112" i="31"/>
  <c r="AE113" i="31"/>
  <c r="AE114" i="31"/>
  <c r="AE115" i="31"/>
  <c r="AE116" i="31"/>
  <c r="AE117" i="31"/>
  <c r="AE118" i="31"/>
  <c r="AE119" i="31"/>
  <c r="AE120" i="31"/>
  <c r="AE121" i="31"/>
  <c r="AE122" i="31"/>
  <c r="AE123" i="31"/>
  <c r="AE124" i="31"/>
  <c r="AE125" i="31"/>
  <c r="AE126" i="31"/>
  <c r="AE127" i="31"/>
  <c r="AE128" i="31"/>
  <c r="AE129" i="31"/>
  <c r="AE130" i="31"/>
  <c r="AE131" i="31"/>
  <c r="AE132" i="31"/>
  <c r="AE133" i="31"/>
  <c r="AE134" i="31"/>
  <c r="AE135" i="31"/>
  <c r="AE136" i="31"/>
  <c r="AE137" i="31"/>
  <c r="AE138" i="31"/>
  <c r="AE139" i="31"/>
  <c r="AE140" i="31"/>
  <c r="AE141" i="31"/>
  <c r="AE142" i="31"/>
  <c r="AE143" i="31"/>
  <c r="AE144" i="31"/>
  <c r="AE145" i="31"/>
  <c r="AE146" i="31"/>
  <c r="AE147" i="31"/>
  <c r="AE148" i="31"/>
  <c r="AE149" i="31"/>
  <c r="AE150" i="31"/>
  <c r="AE151" i="31"/>
  <c r="AE152" i="31"/>
  <c r="AE153" i="31"/>
  <c r="AE154" i="31"/>
  <c r="AE155" i="31"/>
  <c r="AE156" i="31"/>
  <c r="AE157" i="31"/>
  <c r="AE158" i="31"/>
  <c r="AE159" i="31"/>
  <c r="AE160" i="31"/>
  <c r="AE161" i="31"/>
  <c r="AE162" i="31"/>
  <c r="AE163" i="31"/>
  <c r="AE164" i="31"/>
  <c r="AE165" i="31"/>
  <c r="AE166" i="31"/>
  <c r="AE167" i="31"/>
  <c r="AE168" i="31"/>
  <c r="AE169" i="31"/>
  <c r="AE170" i="31"/>
  <c r="AE171" i="31"/>
  <c r="AE172" i="31"/>
  <c r="AE173" i="31"/>
  <c r="AE174" i="31"/>
  <c r="AE175" i="31"/>
  <c r="AE176" i="31"/>
  <c r="AE177" i="31"/>
  <c r="AE178" i="31"/>
  <c r="AE179" i="31"/>
  <c r="AE180" i="31"/>
  <c r="AE181" i="31"/>
  <c r="AE182" i="31"/>
  <c r="AE183" i="31"/>
  <c r="AE184" i="31"/>
  <c r="AE185" i="31"/>
  <c r="AE186" i="31"/>
  <c r="AE187" i="31"/>
  <c r="AE188" i="31"/>
  <c r="AE189" i="31"/>
  <c r="AE190" i="31"/>
  <c r="AE191" i="31"/>
  <c r="AE192" i="31"/>
  <c r="AE193" i="31"/>
  <c r="AE194" i="31"/>
  <c r="AE195" i="31"/>
  <c r="AE196" i="31"/>
  <c r="AE197" i="31"/>
  <c r="AE198" i="31"/>
  <c r="AE199" i="31"/>
  <c r="AE200" i="31"/>
  <c r="AE201" i="31"/>
  <c r="AE202" i="31"/>
  <c r="AE203" i="31"/>
  <c r="AE204" i="31"/>
  <c r="AE205" i="31"/>
  <c r="AE206" i="31"/>
  <c r="AE207" i="31"/>
  <c r="AE208" i="31"/>
  <c r="AE209" i="31"/>
  <c r="AE210" i="31"/>
  <c r="AE211" i="31"/>
  <c r="AE212" i="31"/>
  <c r="AE213" i="31"/>
  <c r="AE214" i="31"/>
  <c r="AE215" i="31"/>
  <c r="AE216" i="31"/>
  <c r="AE217" i="31"/>
  <c r="AE218" i="31"/>
  <c r="AE219" i="31"/>
  <c r="AE220" i="31"/>
  <c r="AE221" i="31"/>
  <c r="AE222" i="31"/>
  <c r="AE223" i="31"/>
  <c r="AE224" i="31"/>
  <c r="AE225" i="31"/>
  <c r="AE226" i="31"/>
  <c r="AE227" i="31"/>
  <c r="AE228" i="31"/>
  <c r="AE229" i="31"/>
  <c r="AE230" i="31"/>
  <c r="AE231" i="31"/>
  <c r="AE232" i="31"/>
  <c r="AE233" i="31"/>
  <c r="AE234" i="31"/>
  <c r="AE235" i="31"/>
  <c r="AE236" i="31"/>
  <c r="AE237" i="31"/>
  <c r="AE238" i="31"/>
  <c r="AE239" i="31"/>
  <c r="AE240" i="31"/>
  <c r="AE241" i="31"/>
  <c r="AE242" i="31"/>
  <c r="AE243" i="31"/>
  <c r="AE244" i="31"/>
  <c r="AE245" i="31"/>
  <c r="AE246" i="31"/>
  <c r="AE247" i="31"/>
  <c r="AE248" i="31"/>
  <c r="AE249" i="31"/>
  <c r="AE250" i="31"/>
  <c r="AE251" i="31"/>
  <c r="AE252" i="31"/>
  <c r="AE253" i="31"/>
  <c r="AE254" i="31"/>
  <c r="AE255" i="31"/>
  <c r="AE6" i="22"/>
  <c r="AE7" i="22"/>
  <c r="AE8" i="22"/>
  <c r="AE9" i="22"/>
  <c r="AE10" i="22"/>
  <c r="AE11" i="22"/>
  <c r="AE12" i="22"/>
  <c r="AE13" i="22"/>
  <c r="AE14" i="22"/>
  <c r="AE15" i="22"/>
  <c r="AE16" i="22"/>
  <c r="AE17" i="22"/>
  <c r="AE18" i="22"/>
  <c r="AE19" i="22"/>
  <c r="AE20" i="22"/>
  <c r="AE21" i="22"/>
  <c r="AE22" i="22"/>
  <c r="AE23" i="22"/>
  <c r="AE24" i="22"/>
  <c r="AE25" i="22"/>
  <c r="AE26" i="22"/>
  <c r="AE27" i="22"/>
  <c r="AE28" i="22"/>
  <c r="AE29" i="22"/>
  <c r="AE30" i="22"/>
  <c r="AE31" i="22"/>
  <c r="AE32" i="22"/>
  <c r="AE33" i="22"/>
  <c r="AE34" i="22"/>
  <c r="AE35" i="22"/>
  <c r="AE36" i="22"/>
  <c r="AE37" i="22"/>
  <c r="AE38" i="22"/>
  <c r="AE39" i="22"/>
  <c r="AE40" i="22"/>
  <c r="AE41" i="22"/>
  <c r="AE42" i="22"/>
  <c r="AE43" i="22"/>
  <c r="AE44" i="22"/>
  <c r="AE45" i="22"/>
  <c r="AE46" i="22"/>
  <c r="AE47" i="22"/>
  <c r="AE48" i="22"/>
  <c r="AE49" i="22"/>
  <c r="AE50" i="22"/>
  <c r="AE51" i="22"/>
  <c r="AE52" i="22"/>
  <c r="AE53" i="22"/>
  <c r="AE54" i="22"/>
  <c r="AE55" i="22"/>
  <c r="AE56" i="22"/>
  <c r="AE57" i="22"/>
  <c r="AE58" i="22"/>
  <c r="AE59" i="22"/>
  <c r="AE60" i="22"/>
  <c r="AE61" i="22"/>
  <c r="AE62" i="22"/>
  <c r="AE63" i="22"/>
  <c r="AE64" i="22"/>
  <c r="AE65" i="22"/>
  <c r="AE66" i="22"/>
  <c r="AE67" i="22"/>
  <c r="AE68" i="22"/>
  <c r="AE69" i="22"/>
  <c r="AE70" i="22"/>
  <c r="AE71" i="22"/>
  <c r="AE72" i="22"/>
  <c r="AE73" i="22"/>
  <c r="AE74" i="22"/>
  <c r="AE75" i="22"/>
  <c r="AE76" i="22"/>
  <c r="AE77" i="22"/>
  <c r="AE78" i="22"/>
  <c r="AE79" i="22"/>
  <c r="AE80" i="22"/>
  <c r="AE81" i="22"/>
  <c r="AE82" i="22"/>
  <c r="AE83" i="22"/>
  <c r="AE84" i="22"/>
  <c r="AE85" i="22"/>
  <c r="AE86" i="22"/>
  <c r="AE87" i="22"/>
  <c r="AE88" i="22"/>
  <c r="AE89" i="22"/>
  <c r="AE90" i="22"/>
  <c r="AE91" i="22"/>
  <c r="AE92" i="22"/>
  <c r="AE93" i="22"/>
  <c r="AE94" i="22"/>
  <c r="AE95" i="22"/>
  <c r="AE96" i="22"/>
  <c r="AE97" i="22"/>
  <c r="AE98" i="22"/>
  <c r="AE99" i="22"/>
  <c r="AE100" i="22"/>
  <c r="AE101" i="22"/>
  <c r="AE102" i="22"/>
  <c r="AE103" i="22"/>
  <c r="AE104" i="22"/>
  <c r="AE105" i="22"/>
  <c r="AE106" i="22"/>
  <c r="AE107" i="22"/>
  <c r="AE108" i="22"/>
  <c r="AE109" i="22"/>
  <c r="AE110" i="22"/>
  <c r="AE111" i="22"/>
  <c r="AE112" i="22"/>
  <c r="AE113" i="22"/>
  <c r="AE114" i="22"/>
  <c r="AE115" i="22"/>
  <c r="AE116" i="22"/>
  <c r="AE117" i="22"/>
  <c r="AE118" i="22"/>
  <c r="AE119" i="22"/>
  <c r="AE120" i="22"/>
  <c r="AE121" i="22"/>
  <c r="AE122" i="22"/>
  <c r="AE123" i="22"/>
  <c r="AE124" i="22"/>
  <c r="AE125" i="22"/>
  <c r="AE126" i="22"/>
  <c r="AE127" i="22"/>
  <c r="AE128" i="22"/>
  <c r="AE129" i="22"/>
  <c r="AE130" i="22"/>
  <c r="AE131" i="22"/>
  <c r="AE132" i="22"/>
  <c r="AE133" i="22"/>
  <c r="AE134" i="22"/>
  <c r="AE135" i="22"/>
  <c r="AE136" i="22"/>
  <c r="AE137" i="22"/>
  <c r="AE138" i="22"/>
  <c r="AE139" i="22"/>
  <c r="AE140" i="22"/>
  <c r="AE141" i="22"/>
  <c r="AE142" i="22"/>
  <c r="AE143" i="22"/>
  <c r="AE144" i="22"/>
  <c r="AE145" i="22"/>
  <c r="AE146" i="22"/>
  <c r="AE147" i="22"/>
  <c r="AE148" i="22"/>
  <c r="AE149" i="22"/>
  <c r="AE150" i="22"/>
  <c r="AE151" i="22"/>
  <c r="AE152" i="22"/>
  <c r="AE153" i="22"/>
  <c r="AE154" i="22"/>
  <c r="AE155" i="22"/>
  <c r="AE156" i="22"/>
  <c r="AE157" i="22"/>
  <c r="AE158" i="22"/>
  <c r="AE159" i="22"/>
  <c r="AE160" i="22"/>
  <c r="AE161" i="22"/>
  <c r="AE162" i="22"/>
  <c r="AE163" i="22"/>
  <c r="AE164" i="22"/>
  <c r="AE165" i="22"/>
  <c r="AE166" i="22"/>
  <c r="AE167" i="22"/>
  <c r="AE168" i="22"/>
  <c r="AE169" i="22"/>
  <c r="AE170" i="22"/>
  <c r="AE171" i="22"/>
  <c r="AE172" i="22"/>
  <c r="AE173" i="22"/>
  <c r="AE174" i="22"/>
  <c r="AE175" i="22"/>
  <c r="AE176" i="22"/>
  <c r="AE177" i="22"/>
  <c r="AE178" i="22"/>
  <c r="AE179" i="22"/>
  <c r="AE180" i="22"/>
  <c r="AE181" i="22"/>
  <c r="AE182" i="22"/>
  <c r="AE183" i="22"/>
  <c r="AE184" i="22"/>
  <c r="AE185" i="22"/>
  <c r="AE186" i="22"/>
  <c r="AE187" i="22"/>
  <c r="AE188" i="22"/>
  <c r="AE189" i="22"/>
  <c r="AE190" i="22"/>
  <c r="AE191" i="22"/>
  <c r="AE192" i="22"/>
  <c r="AE193" i="22"/>
  <c r="AE194" i="22"/>
  <c r="AE195" i="22"/>
  <c r="AE196" i="22"/>
  <c r="AE197" i="22"/>
  <c r="AE198" i="22"/>
  <c r="AE199" i="22"/>
  <c r="AE200" i="22"/>
  <c r="AE201" i="22"/>
  <c r="AE202" i="22"/>
  <c r="AE203" i="22"/>
  <c r="AE204" i="22"/>
  <c r="AE205" i="22"/>
  <c r="AE206" i="22"/>
  <c r="AE207" i="22"/>
  <c r="AE208" i="22"/>
  <c r="AE209" i="22"/>
  <c r="AE210" i="22"/>
  <c r="AE211" i="22"/>
  <c r="AE212" i="22"/>
  <c r="AE213" i="22"/>
  <c r="AE214" i="22"/>
  <c r="AE215" i="22"/>
  <c r="AE216" i="22"/>
  <c r="AE217" i="22"/>
  <c r="AE218" i="22"/>
  <c r="AE219" i="22"/>
  <c r="AE220" i="22"/>
  <c r="AE221" i="22"/>
  <c r="AE222" i="22"/>
  <c r="AE223" i="22"/>
  <c r="AE224" i="22"/>
  <c r="AE225" i="22"/>
  <c r="AE226" i="22"/>
  <c r="AE227" i="22"/>
  <c r="AE228" i="22"/>
  <c r="AE229" i="22"/>
  <c r="AE230" i="22"/>
  <c r="AE231" i="22"/>
  <c r="AE232" i="22"/>
  <c r="AE233" i="22"/>
  <c r="AE234" i="22"/>
  <c r="AE235" i="22"/>
  <c r="AE236" i="22"/>
  <c r="AE237" i="22"/>
  <c r="AE238" i="22"/>
  <c r="AE239" i="22"/>
  <c r="AE240" i="22"/>
  <c r="AE241" i="22"/>
  <c r="AE242" i="22"/>
  <c r="AE243" i="22"/>
  <c r="AE244" i="22"/>
  <c r="AE245" i="22"/>
  <c r="AE246" i="22"/>
  <c r="AE247" i="22"/>
  <c r="AE248" i="22"/>
  <c r="AE249" i="22"/>
  <c r="AE250" i="22"/>
  <c r="AE251" i="22"/>
  <c r="AE252" i="22"/>
  <c r="AE253" i="22"/>
  <c r="AE254" i="22"/>
  <c r="AE255" i="22"/>
  <c r="C12" i="10"/>
  <c r="C11" i="10"/>
  <c r="B5" i="31" l="1"/>
  <c r="B4" i="31"/>
  <c r="B255" i="31" l="1"/>
  <c r="AG255" i="31" s="1"/>
  <c r="B254" i="31"/>
  <c r="AG254" i="31" s="1"/>
  <c r="B253" i="31"/>
  <c r="AG253" i="31" s="1"/>
  <c r="B252" i="31"/>
  <c r="AG252" i="31" s="1"/>
  <c r="B251" i="31"/>
  <c r="AG251" i="31" s="1"/>
  <c r="B250" i="31"/>
  <c r="AG250" i="31" s="1"/>
  <c r="B249" i="31"/>
  <c r="AG249" i="31" s="1"/>
  <c r="B248" i="31"/>
  <c r="AG248" i="31" s="1"/>
  <c r="B247" i="31"/>
  <c r="AG247" i="31" s="1"/>
  <c r="AG246" i="31"/>
  <c r="B246" i="31"/>
  <c r="B245" i="31"/>
  <c r="AG245" i="31" s="1"/>
  <c r="B244" i="31"/>
  <c r="AG244" i="31" s="1"/>
  <c r="B243" i="31"/>
  <c r="AG243" i="31" s="1"/>
  <c r="B242" i="31"/>
  <c r="AG242" i="31" s="1"/>
  <c r="B241" i="31"/>
  <c r="AG241" i="31" s="1"/>
  <c r="B240" i="31"/>
  <c r="AG240" i="31" s="1"/>
  <c r="B239" i="31"/>
  <c r="AG239" i="31" s="1"/>
  <c r="AG238" i="31"/>
  <c r="B238" i="31"/>
  <c r="B237" i="31"/>
  <c r="AG237" i="31" s="1"/>
  <c r="B236" i="31"/>
  <c r="AG236" i="31" s="1"/>
  <c r="B235" i="31"/>
  <c r="AG235" i="31" s="1"/>
  <c r="B234" i="31"/>
  <c r="AG234" i="31" s="1"/>
  <c r="B233" i="31"/>
  <c r="AG233" i="31" s="1"/>
  <c r="B232" i="31"/>
  <c r="AG232" i="31" s="1"/>
  <c r="B231" i="31"/>
  <c r="AG231" i="31" s="1"/>
  <c r="B230" i="31"/>
  <c r="AG230" i="31" s="1"/>
  <c r="B229" i="31"/>
  <c r="AG229" i="31" s="1"/>
  <c r="B228" i="31"/>
  <c r="AG228" i="31" s="1"/>
  <c r="B227" i="31"/>
  <c r="AG227" i="31" s="1"/>
  <c r="B226" i="31"/>
  <c r="AG226" i="31" s="1"/>
  <c r="B225" i="31"/>
  <c r="AG225" i="31" s="1"/>
  <c r="B224" i="31"/>
  <c r="AG224" i="31" s="1"/>
  <c r="B223" i="31"/>
  <c r="AG223" i="31" s="1"/>
  <c r="AG222" i="31"/>
  <c r="B222" i="31"/>
  <c r="B221" i="31"/>
  <c r="AG221" i="31" s="1"/>
  <c r="B220" i="31"/>
  <c r="AG220" i="31" s="1"/>
  <c r="B219" i="31"/>
  <c r="AG219" i="31" s="1"/>
  <c r="B218" i="31"/>
  <c r="AG218" i="31" s="1"/>
  <c r="AG217" i="31"/>
  <c r="B217" i="31"/>
  <c r="B216" i="31"/>
  <c r="AG216" i="31" s="1"/>
  <c r="B215" i="31"/>
  <c r="AG215" i="31" s="1"/>
  <c r="B214" i="31"/>
  <c r="AG214" i="31" s="1"/>
  <c r="B213" i="31"/>
  <c r="AG213" i="31" s="1"/>
  <c r="B212" i="31"/>
  <c r="AG212" i="31" s="1"/>
  <c r="B211" i="31"/>
  <c r="AG211" i="31" s="1"/>
  <c r="AG210" i="31"/>
  <c r="B210" i="31"/>
  <c r="B209" i="31"/>
  <c r="AG209" i="31" s="1"/>
  <c r="B208" i="31"/>
  <c r="AG208" i="31" s="1"/>
  <c r="B207" i="31"/>
  <c r="AG207" i="31" s="1"/>
  <c r="B206" i="31"/>
  <c r="AG206" i="31" s="1"/>
  <c r="B205" i="31"/>
  <c r="AG205" i="31" s="1"/>
  <c r="B204" i="31"/>
  <c r="AG204" i="31" s="1"/>
  <c r="B203" i="31"/>
  <c r="AG203" i="31" s="1"/>
  <c r="B202" i="31"/>
  <c r="AG202" i="31" s="1"/>
  <c r="AG201" i="31"/>
  <c r="B201" i="31"/>
  <c r="B200" i="31"/>
  <c r="AG200" i="31" s="1"/>
  <c r="B199" i="31"/>
  <c r="AG199" i="31" s="1"/>
  <c r="AG198" i="31"/>
  <c r="B198" i="31"/>
  <c r="B197" i="31"/>
  <c r="AG197" i="31" s="1"/>
  <c r="B196" i="31"/>
  <c r="AG196" i="31" s="1"/>
  <c r="B195" i="31"/>
  <c r="AG195" i="31" s="1"/>
  <c r="AG194" i="31"/>
  <c r="B194" i="31"/>
  <c r="AG193" i="31"/>
  <c r="B193" i="31"/>
  <c r="B192" i="31"/>
  <c r="AG192" i="31" s="1"/>
  <c r="B191" i="31"/>
  <c r="AG191" i="31" s="1"/>
  <c r="B190" i="31"/>
  <c r="AG190" i="31" s="1"/>
  <c r="B189" i="31"/>
  <c r="AG189" i="31" s="1"/>
  <c r="B188" i="31"/>
  <c r="AG188" i="31" s="1"/>
  <c r="B187" i="31"/>
  <c r="AG187" i="31" s="1"/>
  <c r="B186" i="31"/>
  <c r="AG186" i="31" s="1"/>
  <c r="B185" i="31"/>
  <c r="AG185" i="31" s="1"/>
  <c r="B184" i="31"/>
  <c r="AG184" i="31" s="1"/>
  <c r="B183" i="31"/>
  <c r="AG183" i="31" s="1"/>
  <c r="B182" i="31"/>
  <c r="AG182" i="31" s="1"/>
  <c r="B181" i="31"/>
  <c r="AG181" i="31" s="1"/>
  <c r="B180" i="31"/>
  <c r="AG180" i="31" s="1"/>
  <c r="B179" i="31"/>
  <c r="AG179" i="31" s="1"/>
  <c r="B178" i="31"/>
  <c r="AG178" i="31" s="1"/>
  <c r="AG177" i="31"/>
  <c r="B177" i="31"/>
  <c r="B176" i="31"/>
  <c r="AG176" i="31" s="1"/>
  <c r="B175" i="31"/>
  <c r="AG175" i="31" s="1"/>
  <c r="AG174" i="31"/>
  <c r="B174" i="31"/>
  <c r="B173" i="31"/>
  <c r="AG173" i="31" s="1"/>
  <c r="B172" i="31"/>
  <c r="AG172" i="31" s="1"/>
  <c r="B171" i="31"/>
  <c r="AG171" i="31" s="1"/>
  <c r="B170" i="31"/>
  <c r="AG170" i="31" s="1"/>
  <c r="B169" i="31"/>
  <c r="AG169" i="31" s="1"/>
  <c r="B168" i="31"/>
  <c r="AG168" i="31" s="1"/>
  <c r="B167" i="31"/>
  <c r="AG167" i="31" s="1"/>
  <c r="B166" i="31"/>
  <c r="AG166" i="31" s="1"/>
  <c r="B165" i="31"/>
  <c r="AG165" i="31" s="1"/>
  <c r="B164" i="31"/>
  <c r="AG164" i="31" s="1"/>
  <c r="B163" i="31"/>
  <c r="AG163" i="31" s="1"/>
  <c r="B162" i="31"/>
  <c r="AG162" i="31" s="1"/>
  <c r="B161" i="31"/>
  <c r="AG161" i="31" s="1"/>
  <c r="B160" i="31"/>
  <c r="AG160" i="31" s="1"/>
  <c r="B159" i="31"/>
  <c r="AG159" i="31" s="1"/>
  <c r="B158" i="31"/>
  <c r="AG158" i="31" s="1"/>
  <c r="B157" i="31"/>
  <c r="AG157" i="31" s="1"/>
  <c r="B156" i="31"/>
  <c r="AG156" i="31" s="1"/>
  <c r="B155" i="31"/>
  <c r="AG155" i="31" s="1"/>
  <c r="B154" i="31"/>
  <c r="AG154" i="31" s="1"/>
  <c r="AG153" i="31"/>
  <c r="B153" i="31"/>
  <c r="B152" i="31"/>
  <c r="AG152" i="31" s="1"/>
  <c r="B151" i="31"/>
  <c r="AG151" i="31" s="1"/>
  <c r="B150" i="31"/>
  <c r="AG150" i="31" s="1"/>
  <c r="B149" i="31"/>
  <c r="AG149" i="31" s="1"/>
  <c r="B148" i="31"/>
  <c r="AG148" i="31" s="1"/>
  <c r="B147" i="31"/>
  <c r="AG147" i="31" s="1"/>
  <c r="AG146" i="31"/>
  <c r="B146" i="31"/>
  <c r="B145" i="31"/>
  <c r="AG145" i="31" s="1"/>
  <c r="B144" i="31"/>
  <c r="AG144" i="31" s="1"/>
  <c r="B143" i="31"/>
  <c r="AG143" i="31" s="1"/>
  <c r="B142" i="31"/>
  <c r="AG142" i="31" s="1"/>
  <c r="B141" i="31"/>
  <c r="AG141" i="31" s="1"/>
  <c r="B140" i="31"/>
  <c r="AG140" i="31" s="1"/>
  <c r="B139" i="31"/>
  <c r="AG139" i="31" s="1"/>
  <c r="B138" i="31"/>
  <c r="AG138" i="31" s="1"/>
  <c r="B137" i="31"/>
  <c r="AG137" i="31" s="1"/>
  <c r="B136" i="31"/>
  <c r="AG136" i="31" s="1"/>
  <c r="B135" i="31"/>
  <c r="AG135" i="31" s="1"/>
  <c r="AG134" i="31"/>
  <c r="B134" i="31"/>
  <c r="B133" i="31"/>
  <c r="AG133" i="31" s="1"/>
  <c r="B132" i="31"/>
  <c r="AG132" i="31" s="1"/>
  <c r="B131" i="31"/>
  <c r="AG131" i="31" s="1"/>
  <c r="B130" i="31"/>
  <c r="AG130" i="31" s="1"/>
  <c r="AG129" i="31"/>
  <c r="B129" i="31"/>
  <c r="B128" i="31"/>
  <c r="AG128" i="31" s="1"/>
  <c r="B127" i="31"/>
  <c r="AG127" i="31" s="1"/>
  <c r="B126" i="31"/>
  <c r="AG126" i="31" s="1"/>
  <c r="B125" i="31"/>
  <c r="AG125" i="31" s="1"/>
  <c r="B124" i="31"/>
  <c r="AG124" i="31" s="1"/>
  <c r="B123" i="31"/>
  <c r="AG123" i="31" s="1"/>
  <c r="B122" i="31"/>
  <c r="AG122" i="31" s="1"/>
  <c r="B121" i="31"/>
  <c r="AG121" i="31" s="1"/>
  <c r="B120" i="31"/>
  <c r="AG120" i="31" s="1"/>
  <c r="B119" i="31"/>
  <c r="AG119" i="31" s="1"/>
  <c r="AG118" i="31"/>
  <c r="B118" i="31"/>
  <c r="B117" i="31"/>
  <c r="AG117" i="31" s="1"/>
  <c r="B116" i="31"/>
  <c r="AG116" i="31" s="1"/>
  <c r="B115" i="31"/>
  <c r="AG115" i="31" s="1"/>
  <c r="B114" i="31"/>
  <c r="AG114" i="31" s="1"/>
  <c r="B113" i="31"/>
  <c r="AG113" i="31" s="1"/>
  <c r="B112" i="31"/>
  <c r="AG112" i="31" s="1"/>
  <c r="B111" i="31"/>
  <c r="AG111" i="31" s="1"/>
  <c r="AG110" i="31"/>
  <c r="B110" i="31"/>
  <c r="B109" i="31"/>
  <c r="AG109" i="31" s="1"/>
  <c r="B108" i="31"/>
  <c r="AG108" i="31" s="1"/>
  <c r="B107" i="31"/>
  <c r="AG107" i="31" s="1"/>
  <c r="B106" i="31"/>
  <c r="AG106" i="31" s="1"/>
  <c r="B105" i="31"/>
  <c r="AG105" i="31" s="1"/>
  <c r="B104" i="31"/>
  <c r="AG104" i="31" s="1"/>
  <c r="B103" i="31"/>
  <c r="AG103" i="31" s="1"/>
  <c r="B102" i="31"/>
  <c r="AG102" i="31" s="1"/>
  <c r="B101" i="31"/>
  <c r="AG101" i="31" s="1"/>
  <c r="B100" i="31"/>
  <c r="AG100" i="31" s="1"/>
  <c r="B99" i="31"/>
  <c r="AG99" i="31" s="1"/>
  <c r="B98" i="31"/>
  <c r="AG98" i="31" s="1"/>
  <c r="B97" i="31"/>
  <c r="AG97" i="31" s="1"/>
  <c r="B96" i="31"/>
  <c r="AG96" i="31" s="1"/>
  <c r="B95" i="31"/>
  <c r="AG95" i="31" s="1"/>
  <c r="AG94" i="31"/>
  <c r="B94" i="31"/>
  <c r="B93" i="31"/>
  <c r="AG93" i="31" s="1"/>
  <c r="B92" i="31"/>
  <c r="AG92" i="31" s="1"/>
  <c r="B91" i="31"/>
  <c r="AG91" i="31" s="1"/>
  <c r="B90" i="31"/>
  <c r="AG90" i="31" s="1"/>
  <c r="AG89" i="31"/>
  <c r="B89" i="31"/>
  <c r="B88" i="31"/>
  <c r="AG88" i="31" s="1"/>
  <c r="B87" i="31"/>
  <c r="AG87" i="31" s="1"/>
  <c r="B86" i="31"/>
  <c r="AG86" i="31" s="1"/>
  <c r="B85" i="31"/>
  <c r="AG85" i="31" s="1"/>
  <c r="B84" i="31"/>
  <c r="AG84" i="31" s="1"/>
  <c r="B83" i="31"/>
  <c r="AG83" i="31" s="1"/>
  <c r="AG82" i="31"/>
  <c r="B82" i="31"/>
  <c r="B81" i="31"/>
  <c r="AG81" i="31" s="1"/>
  <c r="B80" i="31"/>
  <c r="AG80" i="31" s="1"/>
  <c r="B79" i="31"/>
  <c r="AG79" i="31" s="1"/>
  <c r="B78" i="31"/>
  <c r="AG78" i="31" s="1"/>
  <c r="B77" i="31"/>
  <c r="AG77" i="31" s="1"/>
  <c r="B76" i="31"/>
  <c r="AG76" i="31" s="1"/>
  <c r="B75" i="31"/>
  <c r="AG75" i="31" s="1"/>
  <c r="B74" i="31"/>
  <c r="AG74" i="31" s="1"/>
  <c r="AG73" i="31"/>
  <c r="B73" i="31"/>
  <c r="B72" i="31"/>
  <c r="AG72" i="31" s="1"/>
  <c r="B71" i="31"/>
  <c r="AG71" i="31" s="1"/>
  <c r="AG70" i="31"/>
  <c r="B70" i="31"/>
  <c r="B69" i="31"/>
  <c r="AG69" i="31" s="1"/>
  <c r="B68" i="31"/>
  <c r="AG68" i="31" s="1"/>
  <c r="B67" i="31"/>
  <c r="AG67" i="31" s="1"/>
  <c r="AG66" i="31"/>
  <c r="B66" i="31"/>
  <c r="AG65" i="31"/>
  <c r="B65" i="31"/>
  <c r="B64" i="31"/>
  <c r="AG64" i="31" s="1"/>
  <c r="B63" i="31"/>
  <c r="AG63" i="31" s="1"/>
  <c r="B62" i="31"/>
  <c r="AG62" i="31" s="1"/>
  <c r="B61" i="31"/>
  <c r="AG61" i="31" s="1"/>
  <c r="B60" i="31"/>
  <c r="AG60" i="31" s="1"/>
  <c r="B59" i="31"/>
  <c r="AG59" i="31" s="1"/>
  <c r="B58" i="31"/>
  <c r="AG58" i="31" s="1"/>
  <c r="B57" i="31"/>
  <c r="AG57" i="31" s="1"/>
  <c r="B56" i="31"/>
  <c r="AG56" i="31" s="1"/>
  <c r="B55" i="31"/>
  <c r="AG55" i="31" s="1"/>
  <c r="B54" i="31"/>
  <c r="AG54" i="31" s="1"/>
  <c r="B53" i="31"/>
  <c r="AG53" i="31" s="1"/>
  <c r="B52" i="31"/>
  <c r="AG52" i="31" s="1"/>
  <c r="B51" i="31"/>
  <c r="AG51" i="31" s="1"/>
  <c r="B50" i="31"/>
  <c r="AG50" i="31" s="1"/>
  <c r="AG49" i="31"/>
  <c r="B49" i="31"/>
  <c r="B48" i="31"/>
  <c r="AG48" i="31" s="1"/>
  <c r="B47" i="31"/>
  <c r="AG47" i="31" s="1"/>
  <c r="B46" i="31"/>
  <c r="AG46" i="31" s="1"/>
  <c r="B45" i="31"/>
  <c r="AG45" i="31" s="1"/>
  <c r="B44" i="31"/>
  <c r="AG44" i="31" s="1"/>
  <c r="B43" i="31"/>
  <c r="AG43" i="31" s="1"/>
  <c r="B42" i="31"/>
  <c r="AG42" i="31" s="1"/>
  <c r="B41" i="31"/>
  <c r="AG41" i="31" s="1"/>
  <c r="B40" i="31"/>
  <c r="AG40" i="31" s="1"/>
  <c r="B39" i="31"/>
  <c r="AG39" i="31" s="1"/>
  <c r="B38" i="31"/>
  <c r="AG38" i="31" s="1"/>
  <c r="B37" i="31"/>
  <c r="AG37" i="31" s="1"/>
  <c r="B36" i="31"/>
  <c r="AG36" i="31" s="1"/>
  <c r="B35" i="31"/>
  <c r="AG35" i="31" s="1"/>
  <c r="B34" i="31"/>
  <c r="AG34" i="31" s="1"/>
  <c r="B33" i="31"/>
  <c r="AG33" i="31" s="1"/>
  <c r="B32" i="31"/>
  <c r="AG32" i="31" s="1"/>
  <c r="B31" i="31"/>
  <c r="AG31" i="31" s="1"/>
  <c r="B30" i="31"/>
  <c r="AG30" i="31" s="1"/>
  <c r="B29" i="31"/>
  <c r="AG29" i="31" s="1"/>
  <c r="B28" i="31"/>
  <c r="AG28" i="31" s="1"/>
  <c r="B27" i="31"/>
  <c r="AG27" i="31" s="1"/>
  <c r="B26" i="31"/>
  <c r="AG26" i="31" s="1"/>
  <c r="B25" i="31"/>
  <c r="AG25" i="31" s="1"/>
  <c r="B24" i="31"/>
  <c r="AG24" i="31" s="1"/>
  <c r="B23" i="31"/>
  <c r="AG23" i="31" s="1"/>
  <c r="B22" i="31"/>
  <c r="AG22" i="31" s="1"/>
  <c r="B21" i="31"/>
  <c r="AG21" i="31" s="1"/>
  <c r="B20" i="31"/>
  <c r="AG20" i="31" s="1"/>
  <c r="B19" i="31"/>
  <c r="AG19" i="31" s="1"/>
  <c r="B18" i="31"/>
  <c r="AG18" i="31" s="1"/>
  <c r="B17" i="31"/>
  <c r="AG17" i="31" s="1"/>
  <c r="B16" i="31"/>
  <c r="AG16" i="31" s="1"/>
  <c r="B15" i="31"/>
  <c r="AG15" i="31" s="1"/>
  <c r="B14" i="31"/>
  <c r="AG14" i="31" s="1"/>
  <c r="B13" i="31"/>
  <c r="AG13" i="31" s="1"/>
  <c r="B12" i="31"/>
  <c r="AG12" i="31" s="1"/>
  <c r="B11" i="31"/>
  <c r="AG11" i="31" s="1"/>
  <c r="B10" i="31"/>
  <c r="AG10" i="31" s="1"/>
  <c r="B9" i="31"/>
  <c r="AG9" i="31" s="1"/>
  <c r="B8" i="31"/>
  <c r="AG8" i="31" s="1"/>
  <c r="B7" i="31"/>
  <c r="AG7" i="31" s="1"/>
  <c r="AG6" i="31"/>
  <c r="AG5" i="31"/>
  <c r="AG4" i="31"/>
  <c r="C10" i="23"/>
  <c r="B41" i="10"/>
  <c r="C8" i="11" l="1"/>
  <c r="C9" i="11"/>
  <c r="G5" i="10" l="1"/>
  <c r="H5" i="10" l="1"/>
  <c r="I5" i="10" s="1"/>
  <c r="J5" i="10" s="1"/>
  <c r="K5" i="10" s="1"/>
  <c r="L5" i="10" s="1"/>
  <c r="M5" i="10" s="1"/>
  <c r="N5" i="10" s="1"/>
  <c r="O5" i="10" s="1"/>
  <c r="P5" i="10" s="1"/>
  <c r="Q5" i="10" s="1"/>
  <c r="R5" i="10" s="1"/>
  <c r="S5" i="10" s="1"/>
  <c r="T5" i="10" s="1"/>
  <c r="S6" i="26"/>
  <c r="S7" i="26"/>
  <c r="S8" i="26"/>
  <c r="S9" i="26"/>
  <c r="S10" i="26"/>
  <c r="S11" i="26"/>
  <c r="S12" i="26"/>
  <c r="S13" i="26"/>
  <c r="S14" i="26"/>
  <c r="S15" i="26"/>
  <c r="S16" i="26"/>
  <c r="S17" i="26"/>
  <c r="S18" i="26"/>
  <c r="S19" i="26"/>
  <c r="S20" i="26"/>
  <c r="S21" i="26"/>
  <c r="S22" i="26"/>
  <c r="S23" i="26"/>
  <c r="S24" i="26"/>
  <c r="S25" i="26"/>
  <c r="S26" i="26"/>
  <c r="S27" i="26"/>
  <c r="S28" i="26"/>
  <c r="S29" i="26"/>
  <c r="S30" i="26"/>
  <c r="S31" i="26"/>
  <c r="S32" i="26"/>
  <c r="S33" i="26"/>
  <c r="S34" i="26"/>
  <c r="S35" i="26"/>
  <c r="S36" i="26"/>
  <c r="S37" i="26"/>
  <c r="S38" i="26"/>
  <c r="S39" i="26"/>
  <c r="S40" i="26"/>
  <c r="S41" i="26"/>
  <c r="S42" i="26"/>
  <c r="S43" i="26"/>
  <c r="S44" i="26"/>
  <c r="S45" i="26"/>
  <c r="S46" i="26"/>
  <c r="S47" i="26"/>
  <c r="S48" i="26"/>
  <c r="S49" i="26"/>
  <c r="S50" i="26"/>
  <c r="S51" i="26"/>
  <c r="S52" i="26"/>
  <c r="S53" i="26"/>
  <c r="S54" i="26"/>
  <c r="S55" i="26"/>
  <c r="W9" i="26"/>
  <c r="W8" i="26"/>
  <c r="W10" i="26"/>
  <c r="W7" i="26"/>
  <c r="W6" i="26"/>
  <c r="G6" i="10" l="1"/>
  <c r="T6" i="10"/>
  <c r="S6" i="10"/>
  <c r="R6" i="10"/>
  <c r="Q6" i="10"/>
  <c r="P6" i="10"/>
  <c r="O6" i="10"/>
  <c r="N6" i="10"/>
  <c r="M6" i="10"/>
  <c r="L6" i="10"/>
  <c r="K6" i="10"/>
  <c r="J6" i="10"/>
  <c r="I6" i="10"/>
  <c r="H6" i="10"/>
  <c r="B10" i="10"/>
  <c r="B7" i="10"/>
  <c r="M17" i="27" l="1"/>
  <c r="C13" i="10"/>
  <c r="J17" i="27" s="1"/>
  <c r="C16" i="11"/>
  <c r="K17" i="27" l="1"/>
  <c r="I17" i="27"/>
  <c r="B7" i="23" l="1"/>
  <c r="B31" i="10" l="1"/>
  <c r="L17" i="27" l="1"/>
  <c r="C25" i="11"/>
  <c r="C22" i="11"/>
  <c r="C23" i="11" l="1"/>
  <c r="C21" i="11"/>
  <c r="C20" i="11"/>
  <c r="C19" i="11"/>
  <c r="C16" i="10" l="1"/>
  <c r="H69" i="26" l="1"/>
  <c r="H42" i="26"/>
  <c r="F42" i="26"/>
  <c r="C9" i="23"/>
  <c r="C7" i="11"/>
  <c r="B33" i="10"/>
  <c r="C15" i="11" l="1"/>
  <c r="C14" i="11"/>
  <c r="C13" i="11"/>
  <c r="C29" i="11"/>
  <c r="C11" i="11"/>
  <c r="C20" i="10" l="1"/>
  <c r="C22" i="10"/>
  <c r="C19" i="10"/>
  <c r="C18" i="10"/>
  <c r="C17" i="10"/>
  <c r="C24" i="11" l="1"/>
  <c r="C21" i="10"/>
  <c r="E4" i="10"/>
  <c r="U6" i="26" l="1"/>
  <c r="U7" i="26"/>
  <c r="U8" i="26"/>
  <c r="U9" i="26"/>
  <c r="U10" i="26"/>
  <c r="U11" i="26"/>
  <c r="U12" i="26"/>
  <c r="U13" i="26"/>
  <c r="U14" i="26"/>
  <c r="U15" i="26"/>
  <c r="U16" i="26"/>
  <c r="U17" i="26"/>
  <c r="U18" i="26"/>
  <c r="U19" i="26"/>
  <c r="U20" i="26"/>
  <c r="U21" i="26"/>
  <c r="U22" i="26"/>
  <c r="U23" i="26"/>
  <c r="U24" i="26"/>
  <c r="U25" i="26"/>
  <c r="U26" i="26"/>
  <c r="U27" i="26"/>
  <c r="U28" i="26"/>
  <c r="U29" i="26"/>
  <c r="U30" i="26"/>
  <c r="U31" i="26"/>
  <c r="U32" i="26"/>
  <c r="U33" i="26"/>
  <c r="U34" i="26"/>
  <c r="U35" i="26"/>
  <c r="U36" i="26"/>
  <c r="U37" i="26"/>
  <c r="U38" i="26"/>
  <c r="U39" i="26"/>
  <c r="U40" i="26"/>
  <c r="U41" i="26"/>
  <c r="U42" i="26"/>
  <c r="U43" i="26"/>
  <c r="U44" i="26"/>
  <c r="U45" i="26"/>
  <c r="U46" i="26"/>
  <c r="U47" i="26"/>
  <c r="U48" i="26"/>
  <c r="U49" i="26"/>
  <c r="U50" i="26"/>
  <c r="U51" i="26"/>
  <c r="U52" i="26"/>
  <c r="U53" i="26"/>
  <c r="U54" i="26"/>
  <c r="U5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49" i="26"/>
  <c r="T50" i="26"/>
  <c r="T51" i="26"/>
  <c r="T52" i="26"/>
  <c r="T53" i="26"/>
  <c r="T54" i="26"/>
  <c r="T55" i="26"/>
  <c r="V18" i="26"/>
  <c r="W51" i="26"/>
  <c r="V10" i="26"/>
  <c r="V39" i="26"/>
  <c r="V16" i="26"/>
  <c r="W28" i="26"/>
  <c r="W27" i="26"/>
  <c r="V29" i="26"/>
  <c r="V43" i="26"/>
  <c r="W26" i="26"/>
  <c r="V27" i="26"/>
  <c r="W24" i="26"/>
  <c r="W44" i="26"/>
  <c r="V17" i="26"/>
  <c r="W54" i="26"/>
  <c r="W19" i="26"/>
  <c r="V51" i="26"/>
  <c r="W32" i="26"/>
  <c r="W14" i="26"/>
  <c r="V22" i="26"/>
  <c r="V37" i="26"/>
  <c r="V30" i="26"/>
  <c r="W38" i="26"/>
  <c r="V50" i="26"/>
  <c r="V48" i="26"/>
  <c r="V54" i="26"/>
  <c r="W31" i="26"/>
  <c r="V12" i="26"/>
  <c r="W17" i="26"/>
  <c r="W39" i="26"/>
  <c r="V36" i="26"/>
  <c r="V40" i="26"/>
  <c r="W11" i="26"/>
  <c r="W43" i="26"/>
  <c r="W20" i="26"/>
  <c r="V52" i="26"/>
  <c r="W34" i="26"/>
  <c r="W40" i="26"/>
  <c r="V47" i="26"/>
  <c r="V25" i="26"/>
  <c r="W48" i="26"/>
  <c r="W30" i="26"/>
  <c r="V19" i="26"/>
  <c r="V41" i="26"/>
  <c r="V32" i="26"/>
  <c r="V53" i="26"/>
  <c r="W47" i="26"/>
  <c r="V23" i="26"/>
  <c r="V15" i="26"/>
  <c r="W15" i="26"/>
  <c r="V35" i="26"/>
  <c r="V34" i="26"/>
  <c r="V42" i="26"/>
  <c r="W21" i="26"/>
  <c r="V7" i="26"/>
  <c r="W35" i="26"/>
  <c r="V11" i="26"/>
  <c r="V38" i="26"/>
  <c r="W46" i="26"/>
  <c r="V9" i="26"/>
  <c r="V24" i="26"/>
  <c r="V8" i="26"/>
  <c r="V33" i="26"/>
  <c r="V26" i="26"/>
  <c r="W33" i="26"/>
  <c r="V6" i="26"/>
  <c r="V13" i="26"/>
  <c r="W45" i="26"/>
  <c r="W25" i="26"/>
  <c r="V31" i="26"/>
  <c r="V49" i="26"/>
  <c r="W18" i="26"/>
  <c r="W12" i="26"/>
  <c r="V21" i="26"/>
  <c r="V55" i="26"/>
  <c r="V45" i="26"/>
  <c r="W29" i="26"/>
  <c r="V46" i="26"/>
  <c r="V28" i="26"/>
  <c r="W52" i="26"/>
  <c r="W53" i="26"/>
  <c r="W16" i="26"/>
  <c r="W13" i="26"/>
  <c r="W50" i="26"/>
  <c r="W22" i="26"/>
  <c r="W55" i="26"/>
  <c r="V44" i="26"/>
  <c r="V20" i="26"/>
  <c r="W49" i="26"/>
  <c r="V14" i="26"/>
  <c r="W41" i="26"/>
  <c r="W23" i="26"/>
  <c r="W37" i="26"/>
  <c r="W36" i="26"/>
  <c r="W42" i="26"/>
  <c r="E4" i="23" l="1"/>
  <c r="C14" i="23" l="1"/>
  <c r="B255" i="22" l="1"/>
  <c r="AG255" i="22" s="1"/>
  <c r="B254" i="22"/>
  <c r="AG254" i="22" s="1"/>
  <c r="B253" i="22"/>
  <c r="AG253" i="22" s="1"/>
  <c r="B252" i="22"/>
  <c r="AG252" i="22" s="1"/>
  <c r="B251" i="22"/>
  <c r="AG251" i="22" s="1"/>
  <c r="B250" i="22"/>
  <c r="AG250" i="22" s="1"/>
  <c r="B249" i="22"/>
  <c r="AG249" i="22" s="1"/>
  <c r="B248" i="22"/>
  <c r="AG248" i="22" s="1"/>
  <c r="B247" i="22"/>
  <c r="AG247" i="22" s="1"/>
  <c r="B246" i="22"/>
  <c r="AG246" i="22" s="1"/>
  <c r="B245" i="22"/>
  <c r="AG245" i="22" s="1"/>
  <c r="B244" i="22"/>
  <c r="AG244" i="22" s="1"/>
  <c r="B243" i="22"/>
  <c r="AG243" i="22" s="1"/>
  <c r="B242" i="22"/>
  <c r="AG242" i="22" s="1"/>
  <c r="B241" i="22"/>
  <c r="AG241" i="22" s="1"/>
  <c r="B240" i="22"/>
  <c r="AG240" i="22" s="1"/>
  <c r="B239" i="22"/>
  <c r="AG239" i="22" s="1"/>
  <c r="B238" i="22"/>
  <c r="AG238" i="22" s="1"/>
  <c r="B237" i="22"/>
  <c r="AG237" i="22" s="1"/>
  <c r="B236" i="22"/>
  <c r="AG236" i="22" s="1"/>
  <c r="B235" i="22"/>
  <c r="AG235" i="22" s="1"/>
  <c r="B234" i="22"/>
  <c r="AG234" i="22" s="1"/>
  <c r="B233" i="22"/>
  <c r="AG233" i="22" s="1"/>
  <c r="B232" i="22"/>
  <c r="AG232" i="22" s="1"/>
  <c r="B231" i="22"/>
  <c r="AG231" i="22" s="1"/>
  <c r="B230" i="22"/>
  <c r="AG230" i="22" s="1"/>
  <c r="B229" i="22"/>
  <c r="AG229" i="22" s="1"/>
  <c r="B228" i="22"/>
  <c r="AG228" i="22" s="1"/>
  <c r="B227" i="22"/>
  <c r="AG227" i="22" s="1"/>
  <c r="B226" i="22"/>
  <c r="AG226" i="22" s="1"/>
  <c r="B225" i="22"/>
  <c r="AG225" i="22" s="1"/>
  <c r="B224" i="22"/>
  <c r="AG224" i="22" s="1"/>
  <c r="B223" i="22"/>
  <c r="AG223" i="22" s="1"/>
  <c r="B222" i="22"/>
  <c r="AG222" i="22" s="1"/>
  <c r="B221" i="22"/>
  <c r="AG221" i="22" s="1"/>
  <c r="B220" i="22"/>
  <c r="AG220" i="22" s="1"/>
  <c r="B219" i="22"/>
  <c r="AG219" i="22" s="1"/>
  <c r="B218" i="22"/>
  <c r="AG218" i="22" s="1"/>
  <c r="B217" i="22"/>
  <c r="AG217" i="22" s="1"/>
  <c r="B216" i="22"/>
  <c r="AG216" i="22" s="1"/>
  <c r="B215" i="22"/>
  <c r="AG215" i="22" s="1"/>
  <c r="B214" i="22"/>
  <c r="AG214" i="22" s="1"/>
  <c r="B213" i="22"/>
  <c r="AG213" i="22" s="1"/>
  <c r="B212" i="22"/>
  <c r="AG212" i="22" s="1"/>
  <c r="B211" i="22"/>
  <c r="AG211" i="22" s="1"/>
  <c r="B210" i="22"/>
  <c r="AG210" i="22" s="1"/>
  <c r="B209" i="22"/>
  <c r="AG209" i="22" s="1"/>
  <c r="B208" i="22"/>
  <c r="AG208" i="22" s="1"/>
  <c r="B207" i="22"/>
  <c r="AG207" i="22" s="1"/>
  <c r="B206" i="22"/>
  <c r="AG206" i="22" s="1"/>
  <c r="B205" i="22"/>
  <c r="AG205" i="22" s="1"/>
  <c r="B204" i="22"/>
  <c r="AG204" i="22" s="1"/>
  <c r="B203" i="22"/>
  <c r="AG203" i="22" s="1"/>
  <c r="B202" i="22"/>
  <c r="AG202" i="22" s="1"/>
  <c r="B201" i="22"/>
  <c r="AG201" i="22" s="1"/>
  <c r="B200" i="22"/>
  <c r="AG200" i="22" s="1"/>
  <c r="B199" i="22"/>
  <c r="AG199" i="22" s="1"/>
  <c r="B198" i="22"/>
  <c r="AG198" i="22" s="1"/>
  <c r="B197" i="22"/>
  <c r="AG197" i="22" s="1"/>
  <c r="B196" i="22"/>
  <c r="AG196" i="22" s="1"/>
  <c r="B195" i="22"/>
  <c r="AG195" i="22" s="1"/>
  <c r="B194" i="22"/>
  <c r="AG194" i="22" s="1"/>
  <c r="B193" i="22"/>
  <c r="AG193" i="22" s="1"/>
  <c r="B192" i="22"/>
  <c r="AG192" i="22" s="1"/>
  <c r="B191" i="22"/>
  <c r="AG191" i="22" s="1"/>
  <c r="B190" i="22"/>
  <c r="AG190" i="22" s="1"/>
  <c r="B189" i="22"/>
  <c r="AG189" i="22" s="1"/>
  <c r="B188" i="22"/>
  <c r="AG188" i="22" s="1"/>
  <c r="B187" i="22"/>
  <c r="AG187" i="22" s="1"/>
  <c r="B186" i="22"/>
  <c r="AG186" i="22" s="1"/>
  <c r="B185" i="22"/>
  <c r="AG185" i="22" s="1"/>
  <c r="B184" i="22"/>
  <c r="AG184" i="22" s="1"/>
  <c r="B183" i="22"/>
  <c r="AG183" i="22" s="1"/>
  <c r="B182" i="22"/>
  <c r="AG182" i="22" s="1"/>
  <c r="B181" i="22"/>
  <c r="AG181" i="22" s="1"/>
  <c r="B180" i="22"/>
  <c r="AG180" i="22" s="1"/>
  <c r="B179" i="22"/>
  <c r="AG179" i="22" s="1"/>
  <c r="B178" i="22"/>
  <c r="AG178" i="22" s="1"/>
  <c r="B177" i="22"/>
  <c r="AG177" i="22" s="1"/>
  <c r="B176" i="22"/>
  <c r="AG176" i="22" s="1"/>
  <c r="B175" i="22"/>
  <c r="AG175" i="22" s="1"/>
  <c r="B174" i="22"/>
  <c r="AG174" i="22" s="1"/>
  <c r="B173" i="22"/>
  <c r="AG173" i="22" s="1"/>
  <c r="B172" i="22"/>
  <c r="AG172" i="22" s="1"/>
  <c r="B171" i="22"/>
  <c r="AG171" i="22" s="1"/>
  <c r="B170" i="22"/>
  <c r="AG170" i="22" s="1"/>
  <c r="B169" i="22"/>
  <c r="AG169" i="22" s="1"/>
  <c r="B168" i="22"/>
  <c r="AG168" i="22" s="1"/>
  <c r="B167" i="22"/>
  <c r="AG167" i="22" s="1"/>
  <c r="B166" i="22"/>
  <c r="AG166" i="22" s="1"/>
  <c r="B165" i="22"/>
  <c r="AG165" i="22" s="1"/>
  <c r="B164" i="22"/>
  <c r="AG164" i="22" s="1"/>
  <c r="B163" i="22"/>
  <c r="AG163" i="22" s="1"/>
  <c r="B162" i="22"/>
  <c r="AG162" i="22" s="1"/>
  <c r="B161" i="22"/>
  <c r="AG161" i="22" s="1"/>
  <c r="B160" i="22"/>
  <c r="AG160" i="22" s="1"/>
  <c r="B159" i="22"/>
  <c r="AG159" i="22" s="1"/>
  <c r="B158" i="22"/>
  <c r="AG158" i="22" s="1"/>
  <c r="B157" i="22"/>
  <c r="AG157" i="22" s="1"/>
  <c r="B156" i="22"/>
  <c r="AG156" i="22" s="1"/>
  <c r="B155" i="22"/>
  <c r="AG155" i="22" s="1"/>
  <c r="B154" i="22"/>
  <c r="AG154" i="22" s="1"/>
  <c r="B153" i="22"/>
  <c r="AG153" i="22" s="1"/>
  <c r="B152" i="22"/>
  <c r="AG152" i="22" s="1"/>
  <c r="B151" i="22"/>
  <c r="AG151" i="22" s="1"/>
  <c r="B150" i="22"/>
  <c r="AG150" i="22" s="1"/>
  <c r="B149" i="22"/>
  <c r="AG149" i="22" s="1"/>
  <c r="B148" i="22"/>
  <c r="AG148" i="22" s="1"/>
  <c r="B147" i="22"/>
  <c r="AG147" i="22" s="1"/>
  <c r="B146" i="22"/>
  <c r="AG146" i="22" s="1"/>
  <c r="B145" i="22"/>
  <c r="AG145" i="22" s="1"/>
  <c r="B144" i="22"/>
  <c r="AG144" i="22" s="1"/>
  <c r="B143" i="22"/>
  <c r="AG143" i="22" s="1"/>
  <c r="B142" i="22"/>
  <c r="AG142" i="22" s="1"/>
  <c r="B141" i="22"/>
  <c r="AG141" i="22" s="1"/>
  <c r="B140" i="22"/>
  <c r="AG140" i="22" s="1"/>
  <c r="B139" i="22"/>
  <c r="AG139" i="22" s="1"/>
  <c r="B138" i="22"/>
  <c r="AG138" i="22" s="1"/>
  <c r="B137" i="22"/>
  <c r="AG137" i="22" s="1"/>
  <c r="B136" i="22"/>
  <c r="AG136" i="22" s="1"/>
  <c r="B135" i="22"/>
  <c r="AG135" i="22" s="1"/>
  <c r="B134" i="22"/>
  <c r="AG134" i="22" s="1"/>
  <c r="B133" i="22"/>
  <c r="AG133" i="22" s="1"/>
  <c r="B132" i="22"/>
  <c r="AG132" i="22" s="1"/>
  <c r="B131" i="22"/>
  <c r="AG131" i="22" s="1"/>
  <c r="B130" i="22"/>
  <c r="AG130" i="22" s="1"/>
  <c r="B129" i="22"/>
  <c r="AG129" i="22" s="1"/>
  <c r="B128" i="22"/>
  <c r="AG128" i="22" s="1"/>
  <c r="B127" i="22"/>
  <c r="AG127" i="22" s="1"/>
  <c r="B126" i="22"/>
  <c r="AG126" i="22" s="1"/>
  <c r="B125" i="22"/>
  <c r="AG125" i="22" s="1"/>
  <c r="B124" i="22"/>
  <c r="AG124" i="22" s="1"/>
  <c r="B123" i="22"/>
  <c r="AG123" i="22" s="1"/>
  <c r="B122" i="22"/>
  <c r="AG122" i="22" s="1"/>
  <c r="B121" i="22"/>
  <c r="AG121" i="22" s="1"/>
  <c r="B120" i="22"/>
  <c r="AG120" i="22" s="1"/>
  <c r="B119" i="22"/>
  <c r="AG119" i="22" s="1"/>
  <c r="B118" i="22"/>
  <c r="AG118" i="22" s="1"/>
  <c r="B117" i="22"/>
  <c r="AG117" i="22" s="1"/>
  <c r="B116" i="22"/>
  <c r="AG116" i="22" s="1"/>
  <c r="B115" i="22"/>
  <c r="AG115" i="22" s="1"/>
  <c r="B114" i="22"/>
  <c r="AG114" i="22" s="1"/>
  <c r="B113" i="22"/>
  <c r="AG113" i="22" s="1"/>
  <c r="B112" i="22"/>
  <c r="AG112" i="22" s="1"/>
  <c r="B111" i="22"/>
  <c r="AG111" i="22" s="1"/>
  <c r="B110" i="22"/>
  <c r="AG110" i="22" s="1"/>
  <c r="B109" i="22"/>
  <c r="AG109" i="22" s="1"/>
  <c r="B108" i="22"/>
  <c r="AG108" i="22" s="1"/>
  <c r="B107" i="22"/>
  <c r="AG107" i="22" s="1"/>
  <c r="B106" i="22"/>
  <c r="AG106" i="22" s="1"/>
  <c r="B105" i="22"/>
  <c r="AG105" i="22" s="1"/>
  <c r="B104" i="22"/>
  <c r="AG104" i="22" s="1"/>
  <c r="B103" i="22"/>
  <c r="AG103" i="22" s="1"/>
  <c r="B102" i="22"/>
  <c r="AG102" i="22" s="1"/>
  <c r="B101" i="22"/>
  <c r="AG101" i="22" s="1"/>
  <c r="B100" i="22"/>
  <c r="AG100" i="22" s="1"/>
  <c r="B99" i="22"/>
  <c r="AG99" i="22" s="1"/>
  <c r="B98" i="22"/>
  <c r="AG98" i="22" s="1"/>
  <c r="B97" i="22"/>
  <c r="AG97" i="22" s="1"/>
  <c r="B96" i="22"/>
  <c r="AG96" i="22" s="1"/>
  <c r="B95" i="22"/>
  <c r="AG95" i="22" s="1"/>
  <c r="B94" i="22"/>
  <c r="AG94" i="22" s="1"/>
  <c r="B93" i="22"/>
  <c r="AG93" i="22" s="1"/>
  <c r="B92" i="22"/>
  <c r="AG92" i="22" s="1"/>
  <c r="B91" i="22"/>
  <c r="AG91" i="22" s="1"/>
  <c r="B90" i="22"/>
  <c r="AG90" i="22" s="1"/>
  <c r="B89" i="22"/>
  <c r="AG89" i="22" s="1"/>
  <c r="B88" i="22"/>
  <c r="AG88" i="22" s="1"/>
  <c r="B87" i="22"/>
  <c r="AG87" i="22" s="1"/>
  <c r="B86" i="22"/>
  <c r="AG86" i="22" s="1"/>
  <c r="B85" i="22"/>
  <c r="AG85" i="22" s="1"/>
  <c r="B84" i="22"/>
  <c r="AG84" i="22" s="1"/>
  <c r="B83" i="22"/>
  <c r="AG83" i="22" s="1"/>
  <c r="B82" i="22"/>
  <c r="AG82" i="22" s="1"/>
  <c r="B81" i="22"/>
  <c r="AG81" i="22" s="1"/>
  <c r="B80" i="22"/>
  <c r="AG80" i="22" s="1"/>
  <c r="B79" i="22"/>
  <c r="AG79" i="22" s="1"/>
  <c r="B78" i="22"/>
  <c r="AG78" i="22" s="1"/>
  <c r="B77" i="22"/>
  <c r="AG77" i="22" s="1"/>
  <c r="B76" i="22"/>
  <c r="AG76" i="22" s="1"/>
  <c r="B75" i="22"/>
  <c r="AG75" i="22" s="1"/>
  <c r="B74" i="22"/>
  <c r="AG74" i="22" s="1"/>
  <c r="B73" i="22"/>
  <c r="AG73" i="22" s="1"/>
  <c r="B72" i="22"/>
  <c r="AG72" i="22" s="1"/>
  <c r="B71" i="22"/>
  <c r="AG71" i="22" s="1"/>
  <c r="B70" i="22"/>
  <c r="AG70" i="22" s="1"/>
  <c r="B69" i="22"/>
  <c r="AG69" i="22" s="1"/>
  <c r="B68" i="22"/>
  <c r="AG68" i="22" s="1"/>
  <c r="B67" i="22"/>
  <c r="AG67" i="22" s="1"/>
  <c r="B66" i="22"/>
  <c r="AG66" i="22" s="1"/>
  <c r="B65" i="22"/>
  <c r="AG65" i="22" s="1"/>
  <c r="B64" i="22"/>
  <c r="AG64" i="22" s="1"/>
  <c r="B63" i="22"/>
  <c r="AG63" i="22" s="1"/>
  <c r="B62" i="22"/>
  <c r="AG62" i="22" s="1"/>
  <c r="B61" i="22"/>
  <c r="AG61" i="22" s="1"/>
  <c r="B60" i="22"/>
  <c r="AG60" i="22" s="1"/>
  <c r="B59" i="22"/>
  <c r="AG59" i="22" s="1"/>
  <c r="B58" i="22"/>
  <c r="AG58" i="22" s="1"/>
  <c r="B57" i="22"/>
  <c r="AG57" i="22" s="1"/>
  <c r="B56" i="22"/>
  <c r="AG56" i="22" s="1"/>
  <c r="B55" i="22"/>
  <c r="AG55" i="22" s="1"/>
  <c r="B54" i="22"/>
  <c r="AG54" i="22" s="1"/>
  <c r="B53" i="22"/>
  <c r="AG53" i="22" s="1"/>
  <c r="B52" i="22"/>
  <c r="AG52" i="22" s="1"/>
  <c r="B51" i="22"/>
  <c r="AG51" i="22" s="1"/>
  <c r="B50" i="22"/>
  <c r="AG50" i="22" s="1"/>
  <c r="B49" i="22"/>
  <c r="AG49" i="22" s="1"/>
  <c r="B48" i="22"/>
  <c r="AG48" i="22" s="1"/>
  <c r="B47" i="22"/>
  <c r="AG47" i="22" s="1"/>
  <c r="B46" i="22"/>
  <c r="AG46" i="22" s="1"/>
  <c r="B45" i="22"/>
  <c r="AG45" i="22" s="1"/>
  <c r="B44" i="22"/>
  <c r="AG44" i="22" s="1"/>
  <c r="B43" i="22"/>
  <c r="AG43" i="22" s="1"/>
  <c r="B42" i="22"/>
  <c r="AG42" i="22" s="1"/>
  <c r="B41" i="22"/>
  <c r="AG41" i="22" s="1"/>
  <c r="B40" i="22"/>
  <c r="AG40" i="22" s="1"/>
  <c r="B39" i="22"/>
  <c r="AG39" i="22" s="1"/>
  <c r="B38" i="22"/>
  <c r="AG38" i="22" s="1"/>
  <c r="B37" i="22"/>
  <c r="AG37" i="22" s="1"/>
  <c r="B36" i="22"/>
  <c r="AG36" i="22" s="1"/>
  <c r="B35" i="22"/>
  <c r="AG35" i="22" s="1"/>
  <c r="B34" i="22"/>
  <c r="AG34" i="22" s="1"/>
  <c r="B33" i="22"/>
  <c r="AG33" i="22" s="1"/>
  <c r="B32" i="22"/>
  <c r="AG32" i="22" s="1"/>
  <c r="B31" i="22"/>
  <c r="AG31" i="22" s="1"/>
  <c r="B30" i="22"/>
  <c r="AG30" i="22" s="1"/>
  <c r="B29" i="22"/>
  <c r="AG29" i="22" s="1"/>
  <c r="B28" i="22"/>
  <c r="AG28" i="22" s="1"/>
  <c r="B27" i="22"/>
  <c r="AG27" i="22" s="1"/>
  <c r="B26" i="22"/>
  <c r="AG26" i="22" s="1"/>
  <c r="B25" i="22"/>
  <c r="AG25" i="22" s="1"/>
  <c r="B24" i="22"/>
  <c r="AG24" i="22" s="1"/>
  <c r="B23" i="22"/>
  <c r="AG23" i="22" s="1"/>
  <c r="B22" i="22"/>
  <c r="AG22" i="22" s="1"/>
  <c r="B21" i="22"/>
  <c r="AG21" i="22" s="1"/>
  <c r="B20" i="22"/>
  <c r="AG20" i="22" s="1"/>
  <c r="B19" i="22"/>
  <c r="AG19" i="22" s="1"/>
  <c r="B18" i="22"/>
  <c r="AG18" i="22" s="1"/>
  <c r="B17" i="22"/>
  <c r="AG17" i="22" s="1"/>
  <c r="B16" i="22"/>
  <c r="AG16" i="22" s="1"/>
  <c r="B15" i="22"/>
  <c r="AG15" i="22" s="1"/>
  <c r="B14" i="22"/>
  <c r="AG14" i="22" s="1"/>
  <c r="B13" i="22"/>
  <c r="AG13" i="22" s="1"/>
  <c r="B12" i="22"/>
  <c r="AG12" i="22" s="1"/>
  <c r="B11" i="22"/>
  <c r="AG11" i="22" s="1"/>
  <c r="B10" i="22"/>
  <c r="AG10" i="22" s="1"/>
  <c r="B9" i="22"/>
  <c r="AG9" i="22" s="1"/>
  <c r="B8" i="22"/>
  <c r="AG8" i="22" s="1"/>
  <c r="B7" i="22"/>
  <c r="AG7" i="22" s="1"/>
  <c r="AG6" i="22"/>
  <c r="AG5" i="22"/>
  <c r="AG4" i="22"/>
  <c r="C28" i="11" l="1"/>
  <c r="C35" i="11" l="1"/>
  <c r="C33" i="11"/>
  <c r="C37" i="11"/>
  <c r="C38" i="11"/>
  <c r="C34" i="11"/>
  <c r="C36" i="11"/>
  <c r="C39" i="10"/>
  <c r="D33" i="10"/>
  <c r="B15" i="10"/>
  <c r="C32" i="10"/>
  <c r="C14" i="10"/>
  <c r="B12" i="23"/>
  <c r="C11" i="23"/>
  <c r="D32" i="10"/>
  <c r="C35" i="10"/>
  <c r="B14" i="10"/>
  <c r="D34" i="10"/>
  <c r="C12" i="23"/>
  <c r="D35" i="10"/>
  <c r="C33" i="10"/>
  <c r="C36" i="10"/>
  <c r="C34" i="10"/>
  <c r="C37" i="10"/>
  <c r="C15" i="10"/>
  <c r="B34" i="10"/>
  <c r="B10" i="23"/>
  <c r="C38" i="10"/>
  <c r="B11" i="23"/>
  <c r="C10" i="10"/>
  <c r="D14" i="10"/>
  <c r="K21" i="27" l="1"/>
  <c r="J21" i="27"/>
  <c r="M21" i="27"/>
  <c r="I21" i="27"/>
  <c r="L21" i="27"/>
  <c r="I22" i="27"/>
  <c r="J22" i="27"/>
  <c r="M22" i="27"/>
  <c r="C26" i="10"/>
  <c r="L22" i="27"/>
  <c r="K22" i="27"/>
  <c r="C25" i="10"/>
  <c r="C29" i="23"/>
  <c r="C30" i="23" s="1"/>
  <c r="C28" i="23"/>
  <c r="C27" i="23"/>
  <c r="C17" i="23"/>
  <c r="C16" i="23"/>
  <c r="C30" i="11"/>
  <c r="C19" i="23" l="1"/>
  <c r="C20" i="23" s="1"/>
  <c r="M24" i="27"/>
  <c r="M23" i="27"/>
  <c r="K23" i="27"/>
  <c r="K24" i="27"/>
  <c r="J24" i="27"/>
  <c r="J23" i="27"/>
  <c r="L23" i="27"/>
  <c r="L24" i="27"/>
  <c r="I24" i="27"/>
  <c r="I23" i="27"/>
  <c r="C27" i="10"/>
  <c r="C28" i="10"/>
  <c r="G15" i="10" l="1"/>
  <c r="T15" i="10"/>
  <c r="N15" i="10"/>
  <c r="H15" i="10"/>
  <c r="S15" i="10"/>
  <c r="S19" i="10" s="1"/>
  <c r="R15" i="10"/>
  <c r="R19" i="10" s="1"/>
  <c r="Q15" i="10"/>
  <c r="Q19" i="10" s="1"/>
  <c r="P15" i="10"/>
  <c r="P19" i="10" s="1"/>
  <c r="O15" i="10"/>
  <c r="O19" i="10" s="1"/>
  <c r="M15" i="10"/>
  <c r="M19" i="10" s="1"/>
  <c r="L15" i="10"/>
  <c r="L19" i="10" s="1"/>
  <c r="J15" i="10"/>
  <c r="J19" i="10" s="1"/>
  <c r="I15" i="10"/>
  <c r="I19" i="10" s="1"/>
  <c r="K15" i="10"/>
  <c r="K19" i="10" s="1"/>
  <c r="C23" i="23"/>
  <c r="C24" i="23" s="1"/>
  <c r="C21" i="23"/>
  <c r="C22" i="23"/>
  <c r="C32" i="11"/>
  <c r="C31" i="11"/>
  <c r="C43" i="11" s="1"/>
  <c r="G19" i="10" l="1"/>
  <c r="G17" i="10"/>
  <c r="G18" i="10"/>
  <c r="T19" i="10"/>
  <c r="T17" i="10"/>
  <c r="T18" i="10"/>
  <c r="H19" i="10"/>
  <c r="H17" i="10"/>
  <c r="H18" i="10"/>
  <c r="N19" i="10"/>
  <c r="N17" i="10"/>
  <c r="N18" i="10"/>
  <c r="K18" i="10"/>
  <c r="S17" i="10"/>
  <c r="S18" i="10"/>
  <c r="R17" i="10"/>
  <c r="R18" i="10"/>
  <c r="Q17" i="10"/>
  <c r="Q18" i="10"/>
  <c r="P17" i="10"/>
  <c r="P18" i="10"/>
  <c r="O17" i="10"/>
  <c r="O18" i="10"/>
  <c r="M17" i="10"/>
  <c r="M18" i="10"/>
  <c r="L17" i="10"/>
  <c r="L18" i="10"/>
  <c r="I17" i="10"/>
  <c r="I18" i="10"/>
  <c r="J17" i="10"/>
  <c r="J18" i="10"/>
  <c r="K17" i="10"/>
  <c r="C41" i="11"/>
  <c r="C42" i="11"/>
</calcChain>
</file>

<file path=xl/comments1.xml><?xml version="1.0" encoding="utf-8"?>
<comments xmlns="http://schemas.openxmlformats.org/spreadsheetml/2006/main">
  <authors>
    <author>Autor</author>
  </authors>
  <commentList>
    <comment ref="B2" authorId="0">
      <text>
        <r>
          <rPr>
            <b/>
            <sz val="8"/>
            <color indexed="81"/>
            <rFont val="Tahoma"/>
            <family val="2"/>
            <charset val="238"/>
          </rPr>
          <t>TormekCalc2</t>
        </r>
        <r>
          <rPr>
            <sz val="8"/>
            <color indexed="81"/>
            <rFont val="Tahoma"/>
            <family val="2"/>
            <charset val="238"/>
          </rPr>
          <t xml:space="preserve">
It allows to calculate the exact distances of different types of support bars from the grinding wheels or machines housing and thus obtain accurate grinder setting data to get desired angle after sharpening  knives or tools.
Although the name implies use with Tormek grinders, TormekCalc can be used with any type of grinder.</t>
        </r>
      </text>
    </comment>
    <comment ref="B4" authorId="0">
      <text>
        <r>
          <rPr>
            <b/>
            <sz val="8"/>
            <color indexed="81"/>
            <rFont val="Tahoma"/>
            <family val="2"/>
            <charset val="238"/>
          </rPr>
          <t>Database</t>
        </r>
        <r>
          <rPr>
            <sz val="8"/>
            <color indexed="81"/>
            <rFont val="Tahoma"/>
            <family val="2"/>
            <charset val="238"/>
          </rPr>
          <t xml:space="preserve">
Select a database to work with saved data.
Don't leave this drop-down list empty.
</t>
        </r>
      </text>
    </comment>
    <comment ref="F4" authorId="0">
      <text>
        <r>
          <rPr>
            <b/>
            <sz val="8"/>
            <color indexed="81"/>
            <rFont val="Tahoma"/>
            <family val="2"/>
            <charset val="238"/>
          </rPr>
          <t xml:space="preserve">Wheels
</t>
        </r>
        <r>
          <rPr>
            <sz val="8"/>
            <color indexed="81"/>
            <rFont val="Tahoma"/>
            <family val="2"/>
            <charset val="238"/>
          </rPr>
          <t xml:space="preserve">
List of available grinding/honing wheels.
To add others use the "Custom..." cells or change unused wheels and edit specification in the appropriate column.
Hide unused wheels by hidding selected columns.
Do not leave an empty cell between values, as this will cause errors when generating the drop-down lists!</t>
        </r>
      </text>
    </comment>
    <comment ref="B7" authorId="0">
      <text>
        <r>
          <rPr>
            <b/>
            <sz val="8"/>
            <color indexed="81"/>
            <rFont val="Tahoma"/>
            <family val="2"/>
            <charset val="238"/>
          </rPr>
          <t xml:space="preserve">Knife / Tool
</t>
        </r>
        <r>
          <rPr>
            <sz val="8"/>
            <color indexed="81"/>
            <rFont val="Tahoma"/>
            <family val="2"/>
            <charset val="238"/>
          </rPr>
          <t xml:space="preserve">
Allows reading saved data from the table in the Knives or Tools sheet.  </t>
        </r>
        <r>
          <rPr>
            <b/>
            <sz val="8"/>
            <color indexed="81"/>
            <rFont val="Tahoma"/>
            <family val="2"/>
            <charset val="238"/>
          </rPr>
          <t xml:space="preserve">
</t>
        </r>
        <r>
          <rPr>
            <sz val="8"/>
            <color indexed="81"/>
            <rFont val="Tahoma"/>
            <family val="2"/>
            <charset val="238"/>
          </rPr>
          <t>Select a knife / tool through drop down list and following values will be loaded:
- Jig or Tool projection length X
- Grinding angle Δ
- Jig or tool diameter M
- Info about last used jig, clamping and setting  (in row 12 and 13)
If data doesn't exist or aren't valid default values are used.
You shoud delete or change remaining data in this drop-down list after changing the database.</t>
        </r>
      </text>
    </comment>
    <comment ref="B8" authorId="0">
      <text>
        <r>
          <rPr>
            <b/>
            <sz val="8"/>
            <color indexed="81"/>
            <rFont val="Tahoma"/>
            <family val="2"/>
            <charset val="238"/>
          </rPr>
          <t>Jig selection</t>
        </r>
        <r>
          <rPr>
            <sz val="8"/>
            <color indexed="81"/>
            <rFont val="Tahoma"/>
            <family val="2"/>
            <charset val="238"/>
          </rPr>
          <t xml:space="preserve">
Allows reading saved jigs data from the table in the Jigs sheet,
drop down list depends on used database (Knives or Tools).
Select a jig through drop down list and following values will be loaded:
- Jig or tool diameter M
- Projection length correction X</t>
        </r>
        <r>
          <rPr>
            <sz val="7"/>
            <color indexed="81"/>
            <rFont val="Tahoma"/>
            <family val="2"/>
            <charset val="238"/>
          </rPr>
          <t>+</t>
        </r>
        <r>
          <rPr>
            <sz val="8"/>
            <color indexed="81"/>
            <rFont val="Tahoma"/>
            <family val="2"/>
            <charset val="238"/>
          </rPr>
          <t xml:space="preserve"> (if not zero)
Jig selection overrides following values:
- Jig or tool diameter M stored in the Knives or Tools sheet.
- Jig or tool projection length X stored in the Knives or Tools sheet
   if a Projection length correction X</t>
        </r>
        <r>
          <rPr>
            <sz val="7"/>
            <color indexed="81"/>
            <rFont val="Tahoma"/>
            <family val="2"/>
            <charset val="238"/>
          </rPr>
          <t>+</t>
        </r>
        <r>
          <rPr>
            <sz val="8"/>
            <color indexed="81"/>
            <rFont val="Tahoma"/>
            <family val="2"/>
            <charset val="238"/>
          </rPr>
          <t xml:space="preserve"> specified in Jig sheet is not zero.
   In this case is X</t>
        </r>
        <r>
          <rPr>
            <sz val="7"/>
            <color indexed="81"/>
            <rFont val="Tahoma"/>
            <family val="2"/>
            <charset val="238"/>
          </rPr>
          <t>+</t>
        </r>
        <r>
          <rPr>
            <sz val="8"/>
            <color indexed="81"/>
            <rFont val="Tahoma"/>
            <family val="2"/>
            <charset val="238"/>
          </rPr>
          <t xml:space="preserve"> value added to the value which is entered in the
   input cell D10 (e.g. for tool jig SE-77).
You shoud delete or change remaining data in this drop-down list after changing the database.</t>
        </r>
      </text>
    </comment>
    <comment ref="B10" authorId="0">
      <text>
        <r>
          <rPr>
            <b/>
            <sz val="8"/>
            <color indexed="81"/>
            <rFont val="Tahoma"/>
            <family val="2"/>
            <charset val="238"/>
          </rPr>
          <t>Jig or Tool projection length X</t>
        </r>
        <r>
          <rPr>
            <sz val="8"/>
            <color indexed="81"/>
            <rFont val="Tahoma"/>
            <family val="2"/>
            <charset val="238"/>
          </rPr>
          <t xml:space="preserve">
Write measured value to input cell or leave it blank to use default.
If a knife/tool is selected through drop-down list, value is loaded from the table in the Knives/Tools sheet. If value doesn't exist or is not valid, default one is used.
Manual input overrides automatic inputs.
Default value = 139 mm
Can be changed in the Setting sheet / Default values table.
Automatic corrections of projection length:
SE-77: X = &lt;chisel edge to jig&gt; + &lt;axis correction X+&gt;
SVS-38: X = &lt;chisel edge to jig&gt; + &lt;axis correction X+&gt;</t>
        </r>
      </text>
    </comment>
    <comment ref="B11" authorId="0">
      <text>
        <r>
          <rPr>
            <b/>
            <sz val="8"/>
            <color indexed="81"/>
            <rFont val="Tahoma"/>
            <family val="2"/>
            <charset val="238"/>
          </rPr>
          <t xml:space="preserve">Grinding angle Δ
</t>
        </r>
        <r>
          <rPr>
            <sz val="8"/>
            <color indexed="81"/>
            <rFont val="Tahoma"/>
            <family val="2"/>
            <charset val="238"/>
          </rPr>
          <t>Write desired value to input cell or leave it blank to use default.
Grinding angle value is calculated per side. Total angle for double bevel symmetrical blades is twice the entered value.
If a knife/tool is selected through drop-down list, value is loaded from
the table in the Knives/Tools sheet. If value doesn't exist or is not valid,
default one is used.
Manual input overrides automatic inputs.
Default value = 18°
Can be changed in the Settings sheet / Default values table.</t>
        </r>
      </text>
    </comment>
    <comment ref="B12" authorId="0">
      <text>
        <r>
          <rPr>
            <b/>
            <sz val="8"/>
            <color indexed="81"/>
            <rFont val="Tahoma"/>
            <family val="2"/>
            <charset val="238"/>
          </rPr>
          <t xml:space="preserve">Jig or Tool diameter M
</t>
        </r>
        <r>
          <rPr>
            <sz val="8"/>
            <color indexed="81"/>
            <rFont val="Tahoma"/>
            <family val="2"/>
            <charset val="238"/>
          </rPr>
          <t xml:space="preserve">
Write measured value to input cell or leave it blank to use default.
If a knife/tool is selected through drop-down list, value is loaded from the table in the Knives/Tools sheet. If value doesn't exist or is not valid, default one is used. If automatic calculations aren't supported for stored Jig type "n/a" text is shown, but calculations through manual inputs are still available.
Jig selection through drop-down list at cell C6 overrides auto-loaded values.
Manual input overrides automatic inputs.
Default value = 12 mm
Can be changed in the Settings sheet / Default values table.
Standard jig diameters:
SVM-45/140 = 12 mm
SVM with eccentric bushing = 15,3 mm
SE-77 = 49,2 mm
SVS-50 with closed seat = 21,7 mm</t>
        </r>
      </text>
    </comment>
    <comment ref="F12" authorId="0">
      <text>
        <r>
          <rPr>
            <b/>
            <sz val="8"/>
            <color indexed="81"/>
            <rFont val="Tahoma"/>
            <family val="2"/>
            <charset val="238"/>
          </rPr>
          <t xml:space="preserve">Real diameter D
</t>
        </r>
        <r>
          <rPr>
            <sz val="8"/>
            <color indexed="81"/>
            <rFont val="Tahoma"/>
            <family val="2"/>
            <charset val="238"/>
          </rPr>
          <t xml:space="preserve">
Enter the measured grinding wheel diameters in the appropriate input cells, update values if necessary.</t>
        </r>
      </text>
    </comment>
    <comment ref="B13" authorId="0">
      <text>
        <r>
          <rPr>
            <b/>
            <sz val="8"/>
            <color indexed="81"/>
            <rFont val="Tahoma"/>
            <family val="2"/>
            <charset val="238"/>
          </rPr>
          <t xml:space="preserve">Frontal vertical base offset F
</t>
        </r>
        <r>
          <rPr>
            <sz val="8"/>
            <color indexed="81"/>
            <rFont val="Tahoma"/>
            <family val="2"/>
            <charset val="238"/>
          </rPr>
          <t>Distance between Frontal vertical base (FVB) body and the end of the horizontal sleeve on the Tormek housing.
Write measured value to input cell or leave it blank to use default.
  24,5 mm = FVB is pushed up to the stops against Tormek vertical sleeves
  50,0 mm = 1st mark on the FVB rod is set to end of horizontal sleeve (Bh)
  75,0 mm = 2nd mark on the FVB rod is set to end of horizontal sleeve (Bh)
100,0 mm = 3rd mark on the FVB rod is set to end of horizontal sleeve (Bh)
 other       = distance between end of FVB and horizontal sleeve (Bh)
Manual input overrides automatic input.
Default value = 24,5 mm
Minimal value = 24,5 mm
Can be changed in the Settings sheet / Default values table.</t>
        </r>
      </text>
    </comment>
    <comment ref="F13" authorId="0">
      <text>
        <r>
          <rPr>
            <b/>
            <sz val="8"/>
            <color indexed="81"/>
            <rFont val="Tahoma"/>
            <family val="2"/>
            <charset val="238"/>
          </rPr>
          <t>Machine</t>
        </r>
        <r>
          <rPr>
            <sz val="8"/>
            <color indexed="81"/>
            <rFont val="Tahoma"/>
            <family val="2"/>
            <charset val="238"/>
          </rPr>
          <t xml:space="preserve">
Allows reading saved constants for different machines from the Machines table in the Settings sheet. All calculations in the relevant column are performed for the selected machine.
Select a machine through drop down list and following values will be used:
- Universal support bar (USB) diameter
- Constant HV - Vertical USB
- Constant VV - Vertical USB
- Constant HV - Horizontal USB
- Constant HH - Horizontal USB
- Constant VF - Frontal vertical base (FVB)
- Variable length HF - Frontal vertical base (FVB)
- Jig-length to knife edge JG &lt;calculated&gt;
- Jig-center to USB-center offset JC &lt;calculated&gt;
- USB-center to knife edge CG &lt;calculated&gt;
- Angular offset ∂k &lt;calculated&gt;
Update the real wheel diameter value D, adjust the info cells if necessary.
Notes:
Inputs from cells C14 to C20 are suppressed completely in this case!
Height limits for universal supports US-105/US-430 are still active, values in rows Height VUSB/HUSB/FUSB may be displayed with a grey background even in the valid operating range!</t>
        </r>
      </text>
    </comment>
    <comment ref="B14" authorId="0">
      <text>
        <r>
          <rPr>
            <b/>
            <sz val="8"/>
            <color indexed="81"/>
            <rFont val="Tahoma"/>
            <family val="2"/>
            <charset val="238"/>
          </rPr>
          <t>Used Jig and Clamping</t>
        </r>
        <r>
          <rPr>
            <sz val="8"/>
            <color indexed="81"/>
            <rFont val="Tahoma"/>
            <family val="2"/>
            <charset val="238"/>
          </rPr>
          <t xml:space="preserve">
Displays info about last used jig and clamping if a knife or tool is selected through drop-down list. Values are loaded from the table in the Knives/Tools sheet.
Last used jig = Jig used during last grinding (SVM-45, SVM-140 or other)
Clamping from Guard = distance from knife guard to the side of a jig
Clamping from Spine = distance from knife spine to the tip of a jig 
Clamping from Jig = distance from the tool tip to the jig body
Clamping from Side = distance from the jig stop to the tool side (SE-77)
Used for repeatability of clamping / grinding.</t>
        </r>
      </text>
    </comment>
    <comment ref="B15" authorId="0">
      <text>
        <r>
          <rPr>
            <b/>
            <sz val="8"/>
            <color indexed="81"/>
            <rFont val="Tahoma"/>
            <family val="2"/>
            <charset val="238"/>
          </rPr>
          <t>Jig setting</t>
        </r>
        <r>
          <rPr>
            <sz val="8"/>
            <color indexed="81"/>
            <rFont val="Tahoma"/>
            <family val="2"/>
            <charset val="238"/>
          </rPr>
          <t xml:space="preserve">
Displays additional info about jig settings if a knife or tool is selected through drop-down list. Value is loaded from the table in the Knives/Tools sheet and displayed if exists.
Last jig setting = Additional info about jig setting
Used for repeatability of clamping / grinding.</t>
        </r>
      </text>
    </comment>
    <comment ref="F15" authorId="0">
      <text>
        <r>
          <rPr>
            <b/>
            <sz val="8"/>
            <color indexed="81"/>
            <rFont val="Tahoma"/>
            <family val="2"/>
            <charset val="238"/>
          </rPr>
          <t xml:space="preserve">Top of USB to wheel surface T
</t>
        </r>
        <r>
          <rPr>
            <sz val="8"/>
            <color indexed="81"/>
            <rFont val="Tahoma"/>
            <family val="2"/>
            <charset val="238"/>
          </rPr>
          <t xml:space="preserve">
Height from the top of USB to wheel surface is calculated from the wheel diameter D, jig or tool projection length, grinding angle, jig or tool diameter, universal support bar diameter and frontal vertical base offset.
Distance from top of USB to wheel surface is the same for all USB's.
Values less than USB diameter have a dark grey background.
Values less than 0 are not displayed.</t>
        </r>
      </text>
    </comment>
    <comment ref="B16" authorId="0">
      <text>
        <r>
          <rPr>
            <b/>
            <sz val="8"/>
            <color indexed="81"/>
            <rFont val="Tahoma"/>
            <family val="2"/>
            <charset val="238"/>
          </rPr>
          <t>Universal support bar (USB) diameter</t>
        </r>
        <r>
          <rPr>
            <sz val="8"/>
            <color indexed="81"/>
            <rFont val="Tahoma"/>
            <family val="2"/>
            <charset val="238"/>
          </rPr>
          <t xml:space="preserve">
Write desired value to input cell or leave it blank to use default. This value is used for all wheels without specified machine.
USB diameter remains on default value under normal circumstances.
Default value = 12 mm
Can be changed in the Settings sheet / Default values table.</t>
        </r>
      </text>
    </comment>
    <comment ref="B17" authorId="0">
      <text>
        <r>
          <rPr>
            <b/>
            <sz val="8"/>
            <color indexed="81"/>
            <rFont val="Tahoma"/>
            <family val="2"/>
            <charset val="238"/>
          </rPr>
          <t xml:space="preserve">Constant HV - Vertical USB </t>
        </r>
        <r>
          <rPr>
            <sz val="8"/>
            <color indexed="81"/>
            <rFont val="Tahoma"/>
            <family val="2"/>
            <charset val="238"/>
          </rPr>
          <t xml:space="preserve">
Write desired value to input cell or leave it blank to use default. This value is used for all wheels without specified machine.
Distance between Tormek shaft axis A (= wheel axis) and axis of vertical support bar.
Default value = 49,9 mm for Tormek T-8
Can be changed in the Settings sheet / Default values table.</t>
        </r>
      </text>
    </comment>
    <comment ref="F17" authorId="0">
      <text>
        <r>
          <rPr>
            <b/>
            <sz val="8"/>
            <color indexed="81"/>
            <rFont val="Tahoma"/>
            <family val="2"/>
            <charset val="238"/>
          </rPr>
          <t xml:space="preserve">Height VUSB (Vertical USB height)
</t>
        </r>
        <r>
          <rPr>
            <sz val="8"/>
            <color indexed="81"/>
            <rFont val="Tahoma"/>
            <family val="2"/>
            <charset val="238"/>
          </rPr>
          <t xml:space="preserve">
Height from the top of vertical USB to the top of housing Bv is calculated from wheel diameter D, top of USB to wheel surface T, USB diameter U and constants HV and VV.
Height limits for universal supports mounted vertically:
US-105: 67 - 186 mm
US-430: 67 - 240 mm
Values outside these ranges have a dark grey background. Values above
the maximum height of US-105 but in range reachable with US-430 have
a light grey background.
Values for honing wheels LA-220 have a dark grey background due honing towards the edge.
Values less than 0 are not displayed.</t>
        </r>
      </text>
    </comment>
    <comment ref="B18" authorId="0">
      <text>
        <r>
          <rPr>
            <b/>
            <sz val="8"/>
            <color indexed="81"/>
            <rFont val="Tahoma"/>
            <family val="2"/>
            <charset val="238"/>
          </rPr>
          <t xml:space="preserve">Constant VV - Vertical USB </t>
        </r>
        <r>
          <rPr>
            <sz val="8"/>
            <color indexed="81"/>
            <rFont val="Tahoma"/>
            <family val="2"/>
            <charset val="238"/>
          </rPr>
          <t xml:space="preserve">
Write desired value to input cell or leave it blank to use default. This value is used for all wheels without specified machine.
Distance between Tormek shaft axis A (= wheel axis) and top of housing Bv.
Default value = 28,7 mm for Tormek T-8
Can be changed in the Settings sheet / Default values table.</t>
        </r>
      </text>
    </comment>
    <comment ref="F18" authorId="0">
      <text>
        <r>
          <rPr>
            <b/>
            <sz val="8"/>
            <color indexed="81"/>
            <rFont val="Tahoma"/>
            <family val="2"/>
            <charset val="238"/>
          </rPr>
          <t xml:space="preserve">Height HUSB (Horizontal USB height)
</t>
        </r>
        <r>
          <rPr>
            <sz val="8"/>
            <color indexed="81"/>
            <rFont val="Tahoma"/>
            <family val="2"/>
            <charset val="238"/>
          </rPr>
          <t xml:space="preserve">
Height from the top of horizontal USB to the sleeve end Bh at horizontal support bar is calculated from wheel diameter D, top of USB to wheel
surface T, USB diameter U and constants HH and VH.
Height limits for universal supports mounted horizontally:
US-105: 22 - 134 mm
US-430: 22 - 188 mm
Values outside these ranges have a dark grey background. Values above
the maximum height of US-105 but in range reachable with US-430 have
a light grey background.
Values less than 0 are not displayed.</t>
        </r>
      </text>
    </comment>
    <comment ref="B19" authorId="0">
      <text>
        <r>
          <rPr>
            <b/>
            <sz val="8"/>
            <color indexed="81"/>
            <rFont val="Tahoma"/>
            <family val="2"/>
            <charset val="238"/>
          </rPr>
          <t xml:space="preserve">Constant HH - Horizontal USB </t>
        </r>
        <r>
          <rPr>
            <sz val="8"/>
            <color indexed="81"/>
            <rFont val="Tahoma"/>
            <family val="2"/>
            <charset val="238"/>
          </rPr>
          <t xml:space="preserve">
Write desired value to input cell or leave it blank to use default. This value is used for all wheels without specified machine.
Distance between Tormek shaft axis A (= wheel axis) and axis of horizontal support bar.
Default value = 41,0 mm for Tormek T-8
Can be changed in the Settings sheet / Default values table.</t>
        </r>
      </text>
    </comment>
    <comment ref="F19" authorId="0">
      <text>
        <r>
          <rPr>
            <b/>
            <sz val="8"/>
            <color indexed="81"/>
            <rFont val="Tahoma"/>
            <family val="2"/>
            <charset val="238"/>
          </rPr>
          <t xml:space="preserve">Height FUSB (Frontal vertical base USB height)
</t>
        </r>
        <r>
          <rPr>
            <sz val="8"/>
            <color indexed="81"/>
            <rFont val="Tahoma"/>
            <family val="2"/>
            <charset val="238"/>
          </rPr>
          <t xml:space="preserve">
Height from the top of vertical USB to the top of frontal vertical base Bf is calculated from wheel diameter D, top of USB to wheel surface T, USB diameter U, constants VF and variable length HF.
Height limits for universal supports mounted to FVB:
US-105: 22 - 134 mm
US-430: 22 - 188 mm
Values outside these ranges have a dark grey background. Values above
the maximum height of US-105 but in range reachable with US-430 have
a light grey background.
Values less than 0 are not displayed.</t>
        </r>
      </text>
    </comment>
    <comment ref="B20" authorId="0">
      <text>
        <r>
          <rPr>
            <b/>
            <sz val="8"/>
            <color indexed="81"/>
            <rFont val="Tahoma"/>
            <family val="2"/>
            <charset val="238"/>
          </rPr>
          <t xml:space="preserve">Constant VH - Horizontal USB </t>
        </r>
        <r>
          <rPr>
            <sz val="8"/>
            <color indexed="81"/>
            <rFont val="Tahoma"/>
            <family val="2"/>
            <charset val="238"/>
          </rPr>
          <t xml:space="preserve">
Write desired value to input cell or leave it blank to use default. This value is used for all wheels without specified machine.
Distance between Tormek shaft axis A (= wheel axis) and sleeve end Bh at horizontal support bar.
Default value = 49,9 mm for Tormek T-8
Can be changed in the Settings sheet / Default values table.</t>
        </r>
      </text>
    </comment>
    <comment ref="B21" authorId="0">
      <text>
        <r>
          <rPr>
            <b/>
            <sz val="8"/>
            <color indexed="81"/>
            <rFont val="Tahoma"/>
            <family val="2"/>
            <charset val="238"/>
          </rPr>
          <t>Variable Length HF - Frontal vertical base (FVB)</t>
        </r>
        <r>
          <rPr>
            <sz val="8"/>
            <color indexed="81"/>
            <rFont val="Tahoma"/>
            <family val="2"/>
            <charset val="238"/>
          </rPr>
          <t xml:space="preserve">
Write desired value to input cell or leave it blank to use default. This value is used for all wheels without specified machine.
Distance between Tormek shaft axis A (= wheel axis) and the sleeve end Bh at horizontal support bar plus distance between the axis of frontal vertical support bar and the end of frontal vertical base body.
Frontal vertical base offset (= current length between the end of frontal vertical body and sleeve end Bh) from cell C11 is added to this variable.
Default values = 81,1 + 37,2 mm + FVB offset from cell C11
First two values can be changed in the Settings sheet / Default values table.</t>
        </r>
      </text>
    </comment>
    <comment ref="B22" authorId="0">
      <text>
        <r>
          <rPr>
            <b/>
            <sz val="8"/>
            <color indexed="81"/>
            <rFont val="Tahoma"/>
            <family val="2"/>
            <charset val="238"/>
          </rPr>
          <t>Constant VF - Frontal vertical base</t>
        </r>
        <r>
          <rPr>
            <sz val="8"/>
            <color indexed="81"/>
            <rFont val="Tahoma"/>
            <family val="2"/>
            <charset val="238"/>
          </rPr>
          <t xml:space="preserve">
Write desired value to input cell or leave it blank to use default. This value is used for all wheels without specified machine.
Distance between Tormek shaft axis A (= wheel axis) and top of frontal vertical base Bf.
Default value = 56,0 mm for Tormek T-8
Can be changed in the Settings sheet / Default values table.</t>
        </r>
      </text>
    </comment>
    <comment ref="B31" authorId="0">
      <text>
        <r>
          <rPr>
            <b/>
            <sz val="8"/>
            <color indexed="81"/>
            <rFont val="Tahoma"/>
            <family val="2"/>
            <charset val="238"/>
          </rPr>
          <t>Knife info</t>
        </r>
        <r>
          <rPr>
            <sz val="8"/>
            <color indexed="81"/>
            <rFont val="Tahoma"/>
            <family val="2"/>
            <charset val="238"/>
          </rPr>
          <t xml:space="preserve">
Displays selected data for the knife/tool selected through drop-down list. Values are loaded from the table in the Knives/Tools sheet.
Used for repeatability of grinding.</t>
        </r>
      </text>
    </comment>
  </commentList>
</comments>
</file>

<file path=xl/comments2.xml><?xml version="1.0" encoding="utf-8"?>
<comments xmlns="http://schemas.openxmlformats.org/spreadsheetml/2006/main">
  <authors>
    <author>Autor</author>
  </authors>
  <commentList>
    <comment ref="B2" authorId="0">
      <text>
        <r>
          <rPr>
            <b/>
            <sz val="8"/>
            <color indexed="81"/>
            <rFont val="Tahoma"/>
            <family val="2"/>
            <charset val="238"/>
          </rPr>
          <t xml:space="preserve">Knives table
</t>
        </r>
        <r>
          <rPr>
            <sz val="8"/>
            <color indexed="81"/>
            <rFont val="Tahoma"/>
            <family val="2"/>
            <charset val="238"/>
          </rPr>
          <t xml:space="preserve">
Allows saving data about knife and grinding procedure.
Hide unused columns by right-click on selected columns and choosing Hide.</t>
        </r>
      </text>
    </comment>
    <comment ref="B3" authorId="0">
      <text>
        <r>
          <rPr>
            <b/>
            <sz val="8"/>
            <color indexed="81"/>
            <rFont val="Tahoma"/>
            <family val="2"/>
            <charset val="238"/>
          </rPr>
          <t>Index</t>
        </r>
        <r>
          <rPr>
            <sz val="8"/>
            <color indexed="81"/>
            <rFont val="Tahoma"/>
            <family val="2"/>
            <charset val="238"/>
          </rPr>
          <t xml:space="preserve">
Automatically generated number used for easy orientation, especially in the drop-down lists. Number is generated after writting data to the Manufacturer's column.</t>
        </r>
        <r>
          <rPr>
            <b/>
            <sz val="8"/>
            <color indexed="81"/>
            <rFont val="Tahoma"/>
            <family val="2"/>
            <charset val="238"/>
          </rPr>
          <t xml:space="preserve">
</t>
        </r>
      </text>
    </comment>
    <comment ref="T3" authorId="0">
      <text>
        <r>
          <rPr>
            <b/>
            <sz val="8"/>
            <color indexed="81"/>
            <rFont val="Tahoma"/>
            <family val="2"/>
            <charset val="238"/>
          </rPr>
          <t>Jig diameter M</t>
        </r>
        <r>
          <rPr>
            <sz val="8"/>
            <color indexed="81"/>
            <rFont val="Tahoma"/>
            <family val="2"/>
            <charset val="238"/>
          </rPr>
          <t xml:space="preserve">
Values that differ from the default tool jig diameter have a different background color.
</t>
        </r>
      </text>
    </comment>
    <comment ref="X3" authorId="0">
      <text>
        <r>
          <rPr>
            <b/>
            <sz val="8"/>
            <color indexed="81"/>
            <rFont val="Tahoma"/>
            <family val="2"/>
            <charset val="238"/>
          </rPr>
          <t>USB height</t>
        </r>
        <r>
          <rPr>
            <sz val="8"/>
            <color indexed="81"/>
            <rFont val="Tahoma"/>
            <family val="2"/>
            <charset val="238"/>
          </rPr>
          <t xml:space="preserve">
Used for saving USB height value especially for non-calculated jig types and knives grinded on wheels that do not change the diameter (diamond or CBN).
Together with other relevant values, it allows repeating setup of the grinder to the last used setting.
</t>
        </r>
      </text>
    </comment>
    <comment ref="AE3" authorId="0">
      <text>
        <r>
          <rPr>
            <b/>
            <sz val="8"/>
            <color indexed="81"/>
            <rFont val="Tahoma"/>
            <family val="2"/>
            <charset val="238"/>
          </rPr>
          <t xml:space="preserve">Picture
</t>
        </r>
        <r>
          <rPr>
            <sz val="8"/>
            <color indexed="81"/>
            <rFont val="Tahoma"/>
            <family val="2"/>
            <charset val="238"/>
          </rPr>
          <t>Automatically generated jpeg file name + link. 
To view the file it is necessary to copy it under the generated name to the "Tools" subfolder. Use clipboard to copy name from the selected cell.</t>
        </r>
      </text>
    </comment>
  </commentList>
</comments>
</file>

<file path=xl/comments3.xml><?xml version="1.0" encoding="utf-8"?>
<comments xmlns="http://schemas.openxmlformats.org/spreadsheetml/2006/main">
  <authors>
    <author>Autor</author>
  </authors>
  <commentList>
    <comment ref="B2" authorId="0">
      <text>
        <r>
          <rPr>
            <b/>
            <sz val="8"/>
            <color indexed="81"/>
            <rFont val="Tahoma"/>
            <family val="2"/>
            <charset val="238"/>
          </rPr>
          <t xml:space="preserve">Tools table
</t>
        </r>
        <r>
          <rPr>
            <sz val="8"/>
            <color indexed="81"/>
            <rFont val="Tahoma"/>
            <family val="2"/>
            <charset val="238"/>
          </rPr>
          <t>Allows saving data about tools and grinding procedure.
Hide unused columns by right-click and choosing Hide.</t>
        </r>
      </text>
    </comment>
    <comment ref="B3" authorId="0">
      <text>
        <r>
          <rPr>
            <b/>
            <sz val="8"/>
            <color indexed="81"/>
            <rFont val="Tahoma"/>
            <family val="2"/>
            <charset val="238"/>
          </rPr>
          <t>Index</t>
        </r>
        <r>
          <rPr>
            <sz val="8"/>
            <color indexed="81"/>
            <rFont val="Tahoma"/>
            <family val="2"/>
            <charset val="238"/>
          </rPr>
          <t xml:space="preserve">
Automatically generated number used for easy orientation, especially in the drop-down lists. Number is generated after writting data to the Manufacturer's column.</t>
        </r>
        <r>
          <rPr>
            <b/>
            <sz val="8"/>
            <color indexed="81"/>
            <rFont val="Tahoma"/>
            <family val="2"/>
            <charset val="238"/>
          </rPr>
          <t xml:space="preserve">
</t>
        </r>
      </text>
    </comment>
    <comment ref="T3" authorId="0">
      <text>
        <r>
          <rPr>
            <b/>
            <sz val="8"/>
            <color indexed="81"/>
            <rFont val="Tahoma"/>
            <family val="2"/>
            <charset val="238"/>
          </rPr>
          <t>Jig diameter M</t>
        </r>
        <r>
          <rPr>
            <sz val="8"/>
            <color indexed="81"/>
            <rFont val="Tahoma"/>
            <family val="2"/>
            <charset val="238"/>
          </rPr>
          <t xml:space="preserve">
Values that differ from the default tool jig diameter have a different background color.
</t>
        </r>
      </text>
    </comment>
    <comment ref="X3" authorId="0">
      <text>
        <r>
          <rPr>
            <b/>
            <sz val="8"/>
            <color indexed="81"/>
            <rFont val="Tahoma"/>
            <family val="2"/>
            <charset val="238"/>
          </rPr>
          <t>USB height</t>
        </r>
        <r>
          <rPr>
            <sz val="8"/>
            <color indexed="81"/>
            <rFont val="Tahoma"/>
            <family val="2"/>
            <charset val="238"/>
          </rPr>
          <t xml:space="preserve">
Used for saving USB height value especially for non-calculated jig types and knives grinded on wheels that do not change the diameter (diamond or CBN).
Together with other relevant values, it allows repeating setup of the grinder to the last used setting.
</t>
        </r>
      </text>
    </comment>
    <comment ref="AE3" authorId="0">
      <text>
        <r>
          <rPr>
            <b/>
            <sz val="8"/>
            <color indexed="81"/>
            <rFont val="Tahoma"/>
            <family val="2"/>
            <charset val="238"/>
          </rPr>
          <t xml:space="preserve">Picture
</t>
        </r>
        <r>
          <rPr>
            <sz val="8"/>
            <color indexed="81"/>
            <rFont val="Tahoma"/>
            <family val="2"/>
            <charset val="238"/>
          </rPr>
          <t>Automatically generated jpeg file name + link. 
To view the file it is necessary to copy it under the generated name to the "Tools" subfolder. Use clipboard to copy name from the selected cell.</t>
        </r>
      </text>
    </comment>
  </commentList>
</comments>
</file>

<file path=xl/comments4.xml><?xml version="1.0" encoding="utf-8"?>
<comments xmlns="http://schemas.openxmlformats.org/spreadsheetml/2006/main">
  <authors>
    <author>Autor</author>
  </authors>
  <commentList>
    <comment ref="B2" authorId="0">
      <text>
        <r>
          <rPr>
            <b/>
            <sz val="8"/>
            <color indexed="81"/>
            <rFont val="Tahoma"/>
            <family val="2"/>
            <charset val="238"/>
          </rPr>
          <t>BevelCalc - Bevel calculator</t>
        </r>
        <r>
          <rPr>
            <sz val="8"/>
            <color indexed="81"/>
            <rFont val="Tahoma"/>
            <family val="2"/>
            <charset val="238"/>
          </rPr>
          <t xml:space="preserve">
Allows reverse calculation of Bevel (grinded) angle Δ.
Finding the grinded angle is done using the "marker method".
Use a marker to color the bevel and observe when the grinding wheel removes it. It requires setting the height of the universal support bar to the correct position. Once it is found, enter the measured values in the input cells and the bevel angle will be calculated.</t>
        </r>
      </text>
    </comment>
    <comment ref="B5" authorId="0">
      <text>
        <r>
          <rPr>
            <b/>
            <sz val="8"/>
            <color indexed="81"/>
            <rFont val="Tahoma"/>
            <family val="2"/>
            <charset val="238"/>
          </rPr>
          <t>Jig selection</t>
        </r>
        <r>
          <rPr>
            <sz val="8"/>
            <color indexed="81"/>
            <rFont val="Tahoma"/>
            <family val="2"/>
            <charset val="238"/>
          </rPr>
          <t xml:space="preserve">
Allows reading saved jigs data from the table in the Jigs sheet,
drop down list offers jig types "Knives" or "Tools".
Select a jig through drop down list and following values will be loaded:
- Jig or Tool diameter M
- Projection length correction X</t>
        </r>
        <r>
          <rPr>
            <sz val="7"/>
            <color indexed="81"/>
            <rFont val="Tahoma"/>
            <family val="2"/>
            <charset val="238"/>
          </rPr>
          <t>+</t>
        </r>
        <r>
          <rPr>
            <sz val="8"/>
            <color indexed="81"/>
            <rFont val="Tahoma"/>
            <family val="2"/>
            <charset val="238"/>
          </rPr>
          <t xml:space="preserve"> (if not zero)
Jig selection overrides following values:
- Default Jig or Tool diameter M
- Default Jig or Tool projection length X if a Projection length
   correction X</t>
        </r>
        <r>
          <rPr>
            <sz val="7"/>
            <color indexed="81"/>
            <rFont val="Tahoma"/>
            <family val="2"/>
            <charset val="238"/>
          </rPr>
          <t>+</t>
        </r>
        <r>
          <rPr>
            <sz val="8"/>
            <color indexed="81"/>
            <rFont val="Tahoma"/>
            <family val="2"/>
            <charset val="238"/>
          </rPr>
          <t xml:space="preserve"> specified in Jig sheet is not zero
   In this case is X</t>
        </r>
        <r>
          <rPr>
            <sz val="7"/>
            <color indexed="81"/>
            <rFont val="Tahoma"/>
            <family val="2"/>
            <charset val="238"/>
          </rPr>
          <t>+</t>
        </r>
        <r>
          <rPr>
            <sz val="8"/>
            <color indexed="81"/>
            <rFont val="Tahoma"/>
            <family val="2"/>
            <charset val="238"/>
          </rPr>
          <t xml:space="preserve"> value added to the value which is entered in the
   input cell D8 (e.g. for tool jig SE-77).</t>
        </r>
      </text>
    </comment>
    <comment ref="B7" authorId="0">
      <text>
        <r>
          <rPr>
            <b/>
            <sz val="8"/>
            <color indexed="81"/>
            <rFont val="Tahoma"/>
            <family val="2"/>
            <charset val="238"/>
          </rPr>
          <t xml:space="preserve">Wheel diameter D or wheel type
</t>
        </r>
        <r>
          <rPr>
            <sz val="8"/>
            <color indexed="81"/>
            <rFont val="Tahoma"/>
            <family val="2"/>
            <charset val="238"/>
          </rPr>
          <t xml:space="preserve">
Write measured value to input cell or select a wheel from drop down list and diameter will be loaded from Wheels table in the TormekCalc sheet. Leave it blank to use default value. If data doesn't exist or does not valid, default value is used.
Manual input overrides automatic inputs.
Default value = 250 mm</t>
        </r>
      </text>
    </comment>
    <comment ref="B8" authorId="0">
      <text>
        <r>
          <rPr>
            <b/>
            <sz val="8"/>
            <color indexed="81"/>
            <rFont val="Tahoma"/>
            <family val="2"/>
            <charset val="238"/>
          </rPr>
          <t>Jig or Tool projection length X</t>
        </r>
        <r>
          <rPr>
            <sz val="8"/>
            <color indexed="81"/>
            <rFont val="Tahoma"/>
            <family val="2"/>
            <charset val="238"/>
          </rPr>
          <t xml:space="preserve">
Write measured value to input cell or leave it blank to use default.
Jig selection through drop-down list at cell C5 overrides default value.
Manual input overrides automatic inputs.
Default value = 139 mm
Can be changed in the Settings sheet / Default values table.
Automatic corrections of projection length:
SE-77: X = &lt;chisel edge to jig&gt; + &lt;axis correction X+&gt;
</t>
        </r>
      </text>
    </comment>
    <comment ref="B9" authorId="0">
      <text>
        <r>
          <rPr>
            <b/>
            <sz val="8"/>
            <color indexed="81"/>
            <rFont val="Tahoma"/>
            <family val="2"/>
            <charset val="238"/>
          </rPr>
          <t>Jig or Tool diameter M</t>
        </r>
        <r>
          <rPr>
            <sz val="8"/>
            <color indexed="81"/>
            <rFont val="Tahoma"/>
            <family val="2"/>
            <charset val="238"/>
          </rPr>
          <t xml:space="preserve">
Write measured value to input cell or leave it blank to use default. If data doesn't exist or aren't valid, default value is used.
Jig selection through drop-down list at cell C5 overrides default value.
Manual input overrides automatic inputs.
Default value = 12 mm
Can be changed in the Settings sheet / Default values table.
Standard jig diameters:
SVM-45/140 = 12 mm
SVM with eccentric bushing = 15,3 mm
SE-77 = 49,2 mm
SVS-50 with closed seat = 21,7 mm</t>
        </r>
      </text>
    </comment>
    <comment ref="B11" authorId="0">
      <text>
        <r>
          <rPr>
            <b/>
            <sz val="8"/>
            <color indexed="81"/>
            <rFont val="Tahoma"/>
            <family val="2"/>
            <charset val="238"/>
          </rPr>
          <t>Top of USB to wheel surface T</t>
        </r>
        <r>
          <rPr>
            <sz val="8"/>
            <color indexed="81"/>
            <rFont val="Tahoma"/>
            <family val="2"/>
            <charset val="238"/>
          </rPr>
          <t xml:space="preserve">
Write measured value to input cell for reverse calculation of Bevel angle Δ, leave it blank if height of any USB will be used instead.
The same distance from the top of USB to wheel surface gives the same bevel angle on all USB's.
Limit: dimension T &gt; USB diameter</t>
        </r>
      </text>
    </comment>
    <comment ref="B13" authorId="0">
      <text>
        <r>
          <rPr>
            <b/>
            <sz val="8"/>
            <color indexed="81"/>
            <rFont val="Tahoma"/>
            <family val="2"/>
            <charset val="238"/>
          </rPr>
          <t>Vertical USB height (Height VUSB)</t>
        </r>
        <r>
          <rPr>
            <sz val="8"/>
            <color indexed="81"/>
            <rFont val="Tahoma"/>
            <family val="2"/>
            <charset val="238"/>
          </rPr>
          <t xml:space="preserve">
Write measured value to input cell for reverse calculation of Bevel angle Δ, leave it blank if distance from the top of USB to wheel surface is used instead.
Height input overrides result of Bevel angle Δ - Vertical USB if distance from the top of USB to wheel surface is set.
Height limits for universal supports mounted vertically:
US-105: 67 - 186 mm
US-430: 67 - 240 mm
Values outside these ranges are not calculated.</t>
        </r>
      </text>
    </comment>
    <comment ref="B14" authorId="0">
      <text>
        <r>
          <rPr>
            <b/>
            <sz val="8"/>
            <color indexed="81"/>
            <rFont val="Tahoma"/>
            <family val="2"/>
            <charset val="238"/>
          </rPr>
          <t>Horizontal USB height (Height HUSB)</t>
        </r>
        <r>
          <rPr>
            <sz val="8"/>
            <color indexed="81"/>
            <rFont val="Tahoma"/>
            <family val="2"/>
            <charset val="238"/>
          </rPr>
          <t xml:space="preserve">
Write measured value to input cell for reverse calculation of Bevel angle Δ, leave it blank if distance from the top of USB to wheel surface is used instead.
Height input overrides result of Bevel angle Δ - Horizontal USB if distance from the top of USB to wheel surface is set.
Height limits for universal supports mounted horizontally:
US-105: 22 - 134 mm
US-430: 22 - 188 mm
Values outside these ranges are not calculated.</t>
        </r>
      </text>
    </comment>
    <comment ref="B15" authorId="0">
      <text>
        <r>
          <rPr>
            <b/>
            <sz val="8"/>
            <color indexed="81"/>
            <rFont val="Tahoma"/>
            <family val="2"/>
            <charset val="238"/>
          </rPr>
          <t>Frontal vertical base USB height (Height FUSB)</t>
        </r>
        <r>
          <rPr>
            <sz val="8"/>
            <color indexed="81"/>
            <rFont val="Tahoma"/>
            <family val="2"/>
            <charset val="238"/>
          </rPr>
          <t xml:space="preserve">
Write measured value to input cell for reverse calculation of Bevel angle Δ, leave it blank if distance from the top of USB to wheel surface is used instead.
Check if value of Frontal vertical base offset is correct.
Height input overrides result of Bevel angle Δ - Frontal vertical base if distance from top of USB to wheel surface is set.
Height limits for universal supports mounted to FVB:
US-105: 22 - 134 mm
US-430: 22 - 188 mm
Values outside these ranges are not calculated.</t>
        </r>
      </text>
    </comment>
    <comment ref="B16" authorId="0">
      <text>
        <r>
          <rPr>
            <b/>
            <sz val="8"/>
            <color indexed="81"/>
            <rFont val="Tahoma"/>
            <family val="2"/>
            <charset val="238"/>
          </rPr>
          <t xml:space="preserve">Frontal vertical base offset F
</t>
        </r>
        <r>
          <rPr>
            <sz val="8"/>
            <color indexed="81"/>
            <rFont val="Tahoma"/>
            <family val="2"/>
            <charset val="238"/>
          </rPr>
          <t>Distance between Frontal vertical base (FVB) body and the end of horizontal sleeve on the Tormek housing.
Write measured value to input cell or leave it blank to use default.
  24,5 mm = FVB is pushed up to the stops against Tormek vertical sleeves
  50,0 mm = 1st mark on the FVB rod is set to end of horizontal sleeve (Bh)
  75,0 mm = 2nd mark on the FVB rod is set to end of horizontal sleeve (Bh)
100,0 mm = 3rd mark on the FVB rod is set to end of horizontal sleeve (Bh)
 other       = distance between end of FVB body and horizontal sleeve (Bh)
Manual input overrides automatic input.
Default value = 24,5 mm
Minimal value = 24,5 mm
Can be changed in the Settings sheet / Default values table.</t>
        </r>
      </text>
    </comment>
    <comment ref="B18" authorId="0">
      <text>
        <r>
          <rPr>
            <b/>
            <sz val="8"/>
            <color indexed="81"/>
            <rFont val="Tahoma"/>
            <family val="2"/>
            <charset val="238"/>
          </rPr>
          <t xml:space="preserve">Machine
</t>
        </r>
        <r>
          <rPr>
            <sz val="8"/>
            <color indexed="81"/>
            <rFont val="Tahoma"/>
            <family val="2"/>
            <charset val="238"/>
          </rPr>
          <t xml:space="preserve">
Allows reading saved constants for different machines from the Machines table in the Settings sheet. All calculations are then performed for the selected machine.
Select a machine through drop down list and following values will be loaded:
- Universal support bar (USB) diameter
- Constant HV - Vertical USB
- Constant VV - Vertical USB
- Constant HV - Horizontal USB
- Constant HH - Horizontal USB
- Constant VF - Frontal vertical base (FVB)
- Variable length HF - Frontal vertical base (FVB)
If value does't exist in Machines table text "n/a" is displayed.  
Manual input to cells D17 to D23 can be used and overrides all automatic inputs.</t>
        </r>
      </text>
    </comment>
    <comment ref="B19" authorId="0">
      <text>
        <r>
          <rPr>
            <b/>
            <sz val="8"/>
            <color indexed="81"/>
            <rFont val="Tahoma"/>
            <family val="2"/>
            <charset val="238"/>
          </rPr>
          <t>Universal support bar (USB) diameter</t>
        </r>
        <r>
          <rPr>
            <sz val="8"/>
            <color indexed="81"/>
            <rFont val="Tahoma"/>
            <family val="2"/>
            <charset val="238"/>
          </rPr>
          <t xml:space="preserve">
Write desired value to input cell or leave it blank to use default.
USB diameter remains on default value under normal circumstances.
Default value = 12 mm
Can be changed in the Settings sheet / Default values table.</t>
        </r>
      </text>
    </comment>
    <comment ref="B20" authorId="0">
      <text>
        <r>
          <rPr>
            <b/>
            <sz val="8"/>
            <color indexed="81"/>
            <rFont val="Tahoma"/>
            <family val="2"/>
            <charset val="238"/>
          </rPr>
          <t xml:space="preserve">Constant HV - Vertical USB </t>
        </r>
        <r>
          <rPr>
            <sz val="8"/>
            <color indexed="81"/>
            <rFont val="Tahoma"/>
            <family val="2"/>
            <charset val="238"/>
          </rPr>
          <t xml:space="preserve">
Write desired value to input cell or leave it blank to use default.
Distance between Tormek shaft axis A (= wheel axis) and axis of vertical support bar.
Default value = 49,9 mm for Tormek T-8
Can be changed in the Settings sheet / Default values table.</t>
        </r>
      </text>
    </comment>
    <comment ref="B21" authorId="0">
      <text>
        <r>
          <rPr>
            <b/>
            <sz val="8"/>
            <color indexed="81"/>
            <rFont val="Tahoma"/>
            <family val="2"/>
            <charset val="238"/>
          </rPr>
          <t xml:space="preserve">Constant VV - Vertical USB </t>
        </r>
        <r>
          <rPr>
            <sz val="8"/>
            <color indexed="81"/>
            <rFont val="Tahoma"/>
            <family val="2"/>
            <charset val="238"/>
          </rPr>
          <t xml:space="preserve">
Write desired value to input cell or leave it blank to use default.
Distance between Tormek shaft axis A (= wheel axis) and top of housing Bv.
Default value = 28,7 mm for Tormek T-8
Can be changed in the Settings sheet / Default values table.</t>
        </r>
      </text>
    </comment>
    <comment ref="B22" authorId="0">
      <text>
        <r>
          <rPr>
            <b/>
            <sz val="8"/>
            <color indexed="81"/>
            <rFont val="Tahoma"/>
            <family val="2"/>
            <charset val="238"/>
          </rPr>
          <t xml:space="preserve">Constant HH - Horizontal USB </t>
        </r>
        <r>
          <rPr>
            <sz val="8"/>
            <color indexed="81"/>
            <rFont val="Tahoma"/>
            <family val="2"/>
            <charset val="238"/>
          </rPr>
          <t xml:space="preserve">
Write desired value to input cell or leave it blank to use default.
Distance between Tormek shaft axis A (= wheel axis) and axis of horizontal support bar.
Default value = 41,0 mm for Tormek T-8
Can be changed in the Settings sheet / Default values table.</t>
        </r>
      </text>
    </comment>
    <comment ref="B23" authorId="0">
      <text>
        <r>
          <rPr>
            <b/>
            <sz val="8"/>
            <color indexed="81"/>
            <rFont val="Tahoma"/>
            <family val="2"/>
            <charset val="238"/>
          </rPr>
          <t xml:space="preserve">Constant VH - Horizontal USB </t>
        </r>
        <r>
          <rPr>
            <sz val="8"/>
            <color indexed="81"/>
            <rFont val="Tahoma"/>
            <family val="2"/>
            <charset val="238"/>
          </rPr>
          <t xml:space="preserve">
Write desired value to input cell or leave it blank to use default.
Distance between Tormek shaft axis A (= wheel axis) and sleeve end Bh at horizontal support bar.
Default value = 49,9 mm forTormek T-8
Can be changed in the Settings sheet / Default values table.</t>
        </r>
      </text>
    </comment>
    <comment ref="B24" authorId="0">
      <text>
        <r>
          <rPr>
            <b/>
            <sz val="8"/>
            <color indexed="81"/>
            <rFont val="Tahoma"/>
            <family val="2"/>
            <charset val="238"/>
          </rPr>
          <t>Variable Length HF - Frontal vertical base (FVB)</t>
        </r>
        <r>
          <rPr>
            <sz val="8"/>
            <color indexed="81"/>
            <rFont val="Tahoma"/>
            <family val="2"/>
            <charset val="238"/>
          </rPr>
          <t xml:space="preserve">
Write desired value to input cell or leave it blank to use default.
Distance between Tormek shaft axis A (= wheel axis) and the sleeve end Bh at horizontal support bar plus distance between axis of frontal vertical support bar and end of frontal vertical base.
Frontal vertical base offset (= current length between the end of frontal vertical base and sleeve end Bh) from cell C14 is added to this variable.
Default values = 81,1 + 37,2 mm + FVB offset from cell C14
Can be changed in the Settings sheet / Default values table.</t>
        </r>
      </text>
    </comment>
    <comment ref="B25" authorId="0">
      <text>
        <r>
          <rPr>
            <b/>
            <sz val="8"/>
            <color indexed="81"/>
            <rFont val="Tahoma"/>
            <family val="2"/>
            <charset val="238"/>
          </rPr>
          <t>Constant VF - Frontal vertical base</t>
        </r>
        <r>
          <rPr>
            <sz val="8"/>
            <color indexed="81"/>
            <rFont val="Tahoma"/>
            <family val="2"/>
            <charset val="238"/>
          </rPr>
          <t xml:space="preserve">
Write desired value to input cell or leave it blank to use default.
Distance between Tormek shaft axis A (= wheel axis) and top of frontal vertical base Bf.
Default value = 56,0 mm for Tormek T-8
Can be changed in the Settings sheet / Default values table.</t>
        </r>
      </text>
    </comment>
    <comment ref="B41" authorId="0">
      <text>
        <r>
          <rPr>
            <b/>
            <sz val="8"/>
            <color indexed="81"/>
            <rFont val="Tahoma"/>
            <family val="2"/>
            <charset val="238"/>
          </rPr>
          <t>Bevel angle Δ - Vertical USB</t>
        </r>
        <r>
          <rPr>
            <sz val="8"/>
            <color indexed="81"/>
            <rFont val="Tahoma"/>
            <family val="2"/>
            <charset val="238"/>
          </rPr>
          <t xml:space="preserve">
Bevel angle Δ calculated from the wheel diameter D, jig or tool projection length, jig or tool diameter, universal support bar diameter and the distance from the top of vertical USB to wheel surface or from the height of vertical USB.
Bevel angle Δ value is calculated per side. Total angle for double bevel symmetrical blades is twice the entered value.</t>
        </r>
      </text>
    </comment>
    <comment ref="B42" authorId="0">
      <text>
        <r>
          <rPr>
            <b/>
            <sz val="8"/>
            <color indexed="81"/>
            <rFont val="Tahoma"/>
            <family val="2"/>
            <charset val="238"/>
          </rPr>
          <t>Bevel angle Δ - Horizontal USB</t>
        </r>
        <r>
          <rPr>
            <sz val="8"/>
            <color indexed="81"/>
            <rFont val="Tahoma"/>
            <family val="2"/>
            <charset val="238"/>
          </rPr>
          <t xml:space="preserve">
Bevel angle Δ calculated from the wheel diameter D, jig or tool projection length, jig or tool diameter, universal support bar diameter and the distance from the top of horizontal USB to wheel surface or from the height of horizontal USB.
Bevel angle Δ value is calculated per side. Total angle for double bevel symmetrical blades is twice the entered value.</t>
        </r>
      </text>
    </comment>
    <comment ref="B43" authorId="0">
      <text>
        <r>
          <rPr>
            <b/>
            <sz val="8"/>
            <color indexed="81"/>
            <rFont val="Tahoma"/>
            <family val="2"/>
            <charset val="238"/>
          </rPr>
          <t>Bevel angle Δ - Frontal vertical base</t>
        </r>
        <r>
          <rPr>
            <sz val="8"/>
            <color indexed="81"/>
            <rFont val="Tahoma"/>
            <family val="2"/>
            <charset val="238"/>
          </rPr>
          <t xml:space="preserve">
Bevel angle Δ calculated from the wheel diameter D, jig or tool projection length, jig or tool diameter, universal support bar diameter and the distance from the top of the frontal vertical base USB to wheel surface or from the height of frontal vertical base USB and frontal vertical base offset.
Bevel angle Δ value is calculated per side. Total angle for double bevel symmetrical blades is twice the entered value.</t>
        </r>
      </text>
    </comment>
  </commentList>
</comments>
</file>

<file path=xl/comments5.xml><?xml version="1.0" encoding="utf-8"?>
<comments xmlns="http://schemas.openxmlformats.org/spreadsheetml/2006/main">
  <authors>
    <author>Autor</author>
  </authors>
  <commentList>
    <comment ref="B2" authorId="0">
      <text>
        <r>
          <rPr>
            <b/>
            <sz val="8"/>
            <color indexed="81"/>
            <rFont val="Tahoma"/>
            <family val="2"/>
            <charset val="238"/>
          </rPr>
          <t>EdgeCalc - Edge calculator</t>
        </r>
        <r>
          <rPr>
            <sz val="8"/>
            <color indexed="81"/>
            <rFont val="Tahoma"/>
            <family val="2"/>
            <charset val="238"/>
          </rPr>
          <t xml:space="preserve">
Allows calculation of the height and length of the grinded edge which depends on the edge thickness (blade thickness just behind the edge).
Calculations are made for flat (ideal) grind and for grind on a grinding wheel, which allows to show deviations caused by roundness of grinding wheels and compare ideal vs real grind.</t>
        </r>
      </text>
    </comment>
    <comment ref="B4" authorId="0">
      <text>
        <r>
          <rPr>
            <b/>
            <sz val="8"/>
            <color indexed="81"/>
            <rFont val="Tahoma"/>
            <family val="2"/>
            <charset val="238"/>
          </rPr>
          <t>Database</t>
        </r>
        <r>
          <rPr>
            <sz val="8"/>
            <color indexed="81"/>
            <rFont val="Tahoma"/>
            <family val="2"/>
            <charset val="238"/>
          </rPr>
          <t xml:space="preserve">
Select a database to work with saved data.
Don't leave this drop-down list empty.</t>
        </r>
      </text>
    </comment>
    <comment ref="B7" authorId="0">
      <text>
        <r>
          <rPr>
            <b/>
            <sz val="8"/>
            <color indexed="81"/>
            <rFont val="Tahoma"/>
            <family val="2"/>
            <charset val="238"/>
          </rPr>
          <t xml:space="preserve">Knife / Tool
</t>
        </r>
        <r>
          <rPr>
            <sz val="8"/>
            <color indexed="81"/>
            <rFont val="Tahoma"/>
            <family val="2"/>
            <charset val="238"/>
          </rPr>
          <t xml:space="preserve">
Allows reading saved data from the table in the Knives or Tools sheet.  </t>
        </r>
        <r>
          <rPr>
            <b/>
            <sz val="8"/>
            <color indexed="81"/>
            <rFont val="Tahoma"/>
            <family val="2"/>
            <charset val="238"/>
          </rPr>
          <t xml:space="preserve">
</t>
        </r>
        <r>
          <rPr>
            <sz val="8"/>
            <color indexed="81"/>
            <rFont val="Tahoma"/>
            <family val="2"/>
            <charset val="238"/>
          </rPr>
          <t>Select a knife / tool through drop down list and following values will be loaded:
- Grinding angle Δ
- Edge thickness T
- Edge height
If data doesn't exist or aren't valid, default values are used.
You shoud delete or change remaining data in this drop-down list after changing the database.</t>
        </r>
      </text>
    </comment>
    <comment ref="B9" authorId="0">
      <text>
        <r>
          <rPr>
            <b/>
            <sz val="8"/>
            <color indexed="81"/>
            <rFont val="Tahoma"/>
            <family val="2"/>
            <charset val="238"/>
          </rPr>
          <t xml:space="preserve">Wheel diameter D or wheel type
</t>
        </r>
        <r>
          <rPr>
            <sz val="8"/>
            <color indexed="81"/>
            <rFont val="Tahoma"/>
            <family val="2"/>
            <charset val="238"/>
          </rPr>
          <t xml:space="preserve">
Write measured value to input cell or select a wheel from drop down list and diameter will be loaded from Wheels table on TormekCalc sheet. Leave it blank to use default value. If data doesn't exist or does not valid, default value is used.
Manual input overrides automatic inputs.
Default value = 250 mm
Can be changed in the Settings sheet / Default values table.</t>
        </r>
      </text>
    </comment>
    <comment ref="B10" authorId="0">
      <text>
        <r>
          <rPr>
            <b/>
            <sz val="8"/>
            <color indexed="81"/>
            <rFont val="Tahoma"/>
            <family val="2"/>
            <charset val="238"/>
          </rPr>
          <t>Grinding angle Δ</t>
        </r>
        <r>
          <rPr>
            <sz val="8"/>
            <color indexed="81"/>
            <rFont val="Tahoma"/>
            <family val="2"/>
            <charset val="238"/>
          </rPr>
          <t xml:space="preserve">
Write desired value to input cell or leave it blank to use default.
Grinding angle value is calculated per side. Total angle for double bevel symmetrical blades is twice the entered value.
If a knife/tool is selected through drop-down list, value is loaded from
the table on Knives/Tools sheet and prefix "Loaded" is displayed. If value doesn't exist or is not valid, default one is used (without prefix).
Manual input overrides automatic inputs.
Default value = 18°
Can be changed in the Settings sheet / Default values table.</t>
        </r>
        <r>
          <rPr>
            <b/>
            <sz val="8"/>
            <color indexed="81"/>
            <rFont val="Tahoma"/>
            <family val="2"/>
            <charset val="238"/>
          </rPr>
          <t xml:space="preserve">
</t>
        </r>
      </text>
    </comment>
    <comment ref="B11" authorId="0">
      <text>
        <r>
          <rPr>
            <b/>
            <sz val="8"/>
            <color indexed="81"/>
            <rFont val="Tahoma"/>
            <family val="2"/>
            <charset val="238"/>
          </rPr>
          <t>Edge thickness T</t>
        </r>
        <r>
          <rPr>
            <sz val="8"/>
            <color indexed="81"/>
            <rFont val="Tahoma"/>
            <family val="2"/>
            <charset val="238"/>
          </rPr>
          <t xml:space="preserve">
Write desired value to input cell or leave it blank to use default.
The edge height / length calculation is performed for symmetrical grind, with the axis at the center of the blade, therefore, the blade thickness is divided by 2 by default.  If you calculate an assymetrical or single bevel grind, it is necessary to correct the edge thickness so that the tip of the edge virtually passes through the axis.
If a knife/tool is selected through drop-down list, value is loaded from
the table on Knives/Tools sheet and prefix "Loaded" is displayed. If value doesn't exist or is not valid, default one is used (without prefix).
Manual input overrides automatic inputs.
Default value = 0,6 mm
Can be changed in the Settings sheet / Default values table.</t>
        </r>
      </text>
    </comment>
    <comment ref="B12" authorId="0">
      <text>
        <r>
          <rPr>
            <b/>
            <sz val="8"/>
            <color indexed="81"/>
            <rFont val="Tahoma"/>
            <family val="2"/>
            <charset val="238"/>
          </rPr>
          <t>Loaded knife Edge height [mm]</t>
        </r>
        <r>
          <rPr>
            <sz val="8"/>
            <color indexed="81"/>
            <rFont val="Tahoma"/>
            <family val="2"/>
            <charset val="238"/>
          </rPr>
          <t xml:space="preserve">
The value is only displayed if a knife/tool is selected through drop-down
list, exists and is valid. It's displayed just for comparison with the calculated </t>
        </r>
        <r>
          <rPr>
            <b/>
            <sz val="8"/>
            <color indexed="81"/>
            <rFont val="Tahoma"/>
            <family val="2"/>
            <charset val="238"/>
          </rPr>
          <t>HR</t>
        </r>
        <r>
          <rPr>
            <sz val="8"/>
            <color indexed="81"/>
            <rFont val="Tahoma"/>
            <family val="2"/>
            <charset val="238"/>
          </rPr>
          <t xml:space="preserve"> height value below.</t>
        </r>
      </text>
    </comment>
  </commentList>
</comments>
</file>

<file path=xl/comments6.xml><?xml version="1.0" encoding="utf-8"?>
<comments xmlns="http://schemas.openxmlformats.org/spreadsheetml/2006/main">
  <authors>
    <author>Autor</author>
  </authors>
  <commentList>
    <comment ref="B2" authorId="0">
      <text>
        <r>
          <rPr>
            <b/>
            <sz val="8"/>
            <color indexed="81"/>
            <rFont val="Tahoma"/>
            <family val="2"/>
            <charset val="238"/>
          </rPr>
          <t>Jigs specification</t>
        </r>
        <r>
          <rPr>
            <sz val="8"/>
            <color indexed="81"/>
            <rFont val="Tahoma"/>
            <family val="2"/>
            <charset val="238"/>
          </rPr>
          <t xml:space="preserve">
Allows storing properties of various jigs (even own or from other producers) and consequently using them for the calculations and for quick jigs selection through drop-down list.</t>
        </r>
      </text>
    </comment>
    <comment ref="D4" authorId="0">
      <text>
        <r>
          <rPr>
            <b/>
            <sz val="8"/>
            <color indexed="81"/>
            <rFont val="Tahoma"/>
            <family val="2"/>
            <charset val="238"/>
          </rPr>
          <t xml:space="preserve">Type
</t>
        </r>
        <r>
          <rPr>
            <sz val="8"/>
            <color indexed="81"/>
            <rFont val="Tahoma"/>
            <family val="2"/>
            <charset val="238"/>
          </rPr>
          <t xml:space="preserve">
Enter the jig types in this column.
Values can be offered in the drop-down lists as a jigs for knives or tools if meet the condition for Use.</t>
        </r>
      </text>
    </comment>
    <comment ref="E4" authorId="0">
      <text>
        <r>
          <rPr>
            <b/>
            <sz val="8"/>
            <color indexed="81"/>
            <rFont val="Tahoma"/>
            <family val="2"/>
            <charset val="238"/>
          </rPr>
          <t xml:space="preserve">Use
</t>
        </r>
        <r>
          <rPr>
            <sz val="8"/>
            <color indexed="81"/>
            <rFont val="Tahoma"/>
            <family val="2"/>
            <charset val="238"/>
          </rPr>
          <t xml:space="preserve">
Enter the intended use of the jig in this column.
The jig type is offered in the drop-down list in the TormekCalc sheet for:
- Knives if value = "Knives"
- Tools if value = "Tools"
The jig type is offered in the drop-down list in the Knives sheet at Jig type column if value = "Knives".
The jig type is offered in the drop-down list in the Tools sheet at Jig type column if value = "Tools" or "Tools NC".
The jig type is offered in the drop-down list in the BevelCalc sheet at Jig type column if value = "Knives" or "Tools".
Other values are ignored and are for information only.
If you don't use some jig just change value in "Use" column to something else and the hide rows with unused jig instead of deleting it.</t>
        </r>
      </text>
    </comment>
    <comment ref="F4" authorId="0">
      <text>
        <r>
          <rPr>
            <b/>
            <sz val="8"/>
            <color indexed="81"/>
            <rFont val="Tahoma"/>
            <family val="2"/>
            <charset val="238"/>
          </rPr>
          <t xml:space="preserve">Jig diameter M
</t>
        </r>
        <r>
          <rPr>
            <sz val="8"/>
            <color indexed="81"/>
            <rFont val="Tahoma"/>
            <family val="2"/>
            <charset val="238"/>
          </rPr>
          <t xml:space="preserve">
Enter the measured jig diameters in this column.
Value is used if the jig is selected using the drop-down list "Jig selection" in the TormekCalc sheet.</t>
        </r>
      </text>
    </comment>
    <comment ref="H4" authorId="0">
      <text>
        <r>
          <rPr>
            <b/>
            <sz val="8"/>
            <color indexed="81"/>
            <rFont val="Tahoma"/>
            <family val="2"/>
            <charset val="238"/>
          </rPr>
          <t xml:space="preserve">Projection length correction X+
</t>
        </r>
        <r>
          <rPr>
            <sz val="8"/>
            <color indexed="81"/>
            <rFont val="Tahoma"/>
            <family val="2"/>
            <charset val="238"/>
          </rPr>
          <t xml:space="preserve">
Enter the measured projection length corrections in this column.
Value is automatically added to the "Jig or Tool projection length X", if the jig with length correction X+ is selected using the "Jig selection" drop-down list in the TormekCalc sheet.
The same correction X+ is added to the value stored in column "Jig proj. X" if the knife/tool data are loaded from Knives/Tools sheet and stored "Jig type" has Projection length correction X+ value different from zero.
This function is intended for cases where it's difficult to measure the entire projection length, e.g. when it interferes with the body of the jig, but it's possible to measure to a specific point on the jig.
For all jigs without projection length correction enter
value 0 (zero).</t>
        </r>
      </text>
    </comment>
  </commentList>
</comments>
</file>

<file path=xl/comments7.xml><?xml version="1.0" encoding="utf-8"?>
<comments xmlns="http://schemas.openxmlformats.org/spreadsheetml/2006/main">
  <authors>
    <author>Autor</author>
  </authors>
  <commentList>
    <comment ref="B2" authorId="0">
      <text>
        <r>
          <rPr>
            <b/>
            <sz val="8"/>
            <color indexed="81"/>
            <rFont val="Tahoma"/>
            <family val="2"/>
            <charset val="238"/>
          </rPr>
          <t>Database</t>
        </r>
        <r>
          <rPr>
            <sz val="8"/>
            <color indexed="81"/>
            <rFont val="Tahoma"/>
            <family val="2"/>
            <charset val="238"/>
          </rPr>
          <t xml:space="preserve">
List of sheets used as database and helper cells. Used to generate formulas.</t>
        </r>
      </text>
    </comment>
    <comment ref="E2" authorId="0">
      <text>
        <r>
          <rPr>
            <b/>
            <sz val="8"/>
            <color indexed="81"/>
            <rFont val="Tahoma"/>
            <family val="2"/>
            <charset val="238"/>
          </rPr>
          <t>Default values</t>
        </r>
        <r>
          <rPr>
            <sz val="8"/>
            <color indexed="81"/>
            <rFont val="Tahoma"/>
            <family val="2"/>
            <charset val="238"/>
          </rPr>
          <t xml:space="preserve">
List of default values.
Enter the required values in cells with a green background, the changes will be reflected in all worksheets where the default values are used.</t>
        </r>
      </text>
    </comment>
    <comment ref="H2" authorId="0">
      <text>
        <r>
          <rPr>
            <b/>
            <sz val="8"/>
            <color indexed="81"/>
            <rFont val="Tahoma"/>
            <family val="2"/>
            <charset val="238"/>
          </rPr>
          <t>Machines</t>
        </r>
        <r>
          <rPr>
            <sz val="8"/>
            <color indexed="81"/>
            <rFont val="Tahoma"/>
            <family val="2"/>
            <charset val="238"/>
          </rPr>
          <t xml:space="preserve">
Allows specifying dimensional constants for different grinding machines.
Defined machine setting can be used for calculation in TormekCalc and BevelCalc sheets and it helps in all situations when grinding wheels are used on different machines. The machine selection allows automatic calculations without the need to manually enter dimensional constants.
Specification is universal and is not limited to Tormek machines only, it works virtually with any grinder - see example below.</t>
        </r>
      </text>
    </comment>
    <comment ref="O2" authorId="0">
      <text>
        <r>
          <rPr>
            <b/>
            <sz val="8"/>
            <color indexed="81"/>
            <rFont val="Tahoma"/>
            <family val="2"/>
            <charset val="238"/>
          </rPr>
          <t>Grind types</t>
        </r>
        <r>
          <rPr>
            <sz val="8"/>
            <color indexed="81"/>
            <rFont val="Tahoma"/>
            <family val="2"/>
            <charset val="238"/>
          </rPr>
          <t xml:space="preserve">
List of used grind types for knives and tools.
Values are offered in drop-down list in "Grind profile" column at Knives or Tools sheet.
Change or add values in cells with a green background, the changes will be reflected in the appropriate drop-down list.</t>
        </r>
      </text>
    </comment>
    <comment ref="H6" authorId="0">
      <text>
        <r>
          <rPr>
            <b/>
            <sz val="8"/>
            <color indexed="81"/>
            <rFont val="Tahoma"/>
            <family val="2"/>
            <charset val="238"/>
          </rPr>
          <t xml:space="preserve">Machine type
</t>
        </r>
        <r>
          <rPr>
            <sz val="8"/>
            <color indexed="81"/>
            <rFont val="Tahoma"/>
            <family val="2"/>
            <charset val="238"/>
          </rPr>
          <t>Enter the machine type in the appropriate cell, starting from column Machine 1. Empty cells at the end of this row are ignored when generating a drop-down list.
Do not leave an empty cell between values, as this will cause errors when generating the drop-down lists!</t>
        </r>
      </text>
    </comment>
    <comment ref="H7" authorId="0">
      <text>
        <r>
          <rPr>
            <b/>
            <sz val="8"/>
            <color indexed="81"/>
            <rFont val="Tahoma"/>
            <family val="2"/>
            <charset val="238"/>
          </rPr>
          <t xml:space="preserve">Machine description
</t>
        </r>
        <r>
          <rPr>
            <sz val="8"/>
            <color indexed="81"/>
            <rFont val="Tahoma"/>
            <family val="2"/>
            <charset val="238"/>
          </rPr>
          <t xml:space="preserve">Enter the machine description in the appropriate cell.
The value is for reference only.
</t>
        </r>
      </text>
    </comment>
    <comment ref="H10" authorId="0">
      <text>
        <r>
          <rPr>
            <b/>
            <sz val="8"/>
            <color indexed="81"/>
            <rFont val="Tahoma"/>
            <family val="2"/>
            <charset val="238"/>
          </rPr>
          <t xml:space="preserve">Machine USB diameter
</t>
        </r>
        <r>
          <rPr>
            <sz val="8"/>
            <color indexed="81"/>
            <rFont val="Tahoma"/>
            <family val="2"/>
            <charset val="238"/>
          </rPr>
          <t>Enter measured machine USB diameter constant in the appropriate cell.
The value is used for calculations in TormekCalc and BevelCalc sheets and/or for calculations of auxiliary values.</t>
        </r>
      </text>
    </comment>
    <comment ref="H11" authorId="0">
      <text>
        <r>
          <rPr>
            <b/>
            <sz val="8"/>
            <color indexed="81"/>
            <rFont val="Tahoma"/>
            <family val="2"/>
            <charset val="238"/>
          </rPr>
          <t xml:space="preserve">Machine constant HV - Vertical USB
</t>
        </r>
        <r>
          <rPr>
            <sz val="8"/>
            <color indexed="81"/>
            <rFont val="Tahoma"/>
            <family val="2"/>
            <charset val="238"/>
          </rPr>
          <t>Enter measured machine constant HV - Vertical USB in the appropriate cell.
If the machine is not equipped with vertical USB, leave the cell empty and calculations won't be performed.
The value is used for calculations in TormekCalc and BevelCalc sheets and/or for calculations of auxiliary values.</t>
        </r>
      </text>
    </comment>
    <comment ref="H12" authorId="0">
      <text>
        <r>
          <rPr>
            <b/>
            <sz val="8"/>
            <color indexed="81"/>
            <rFont val="Tahoma"/>
            <family val="2"/>
            <charset val="238"/>
          </rPr>
          <t xml:space="preserve">Machine constant VV - Vertical USB
</t>
        </r>
        <r>
          <rPr>
            <sz val="8"/>
            <color indexed="81"/>
            <rFont val="Tahoma"/>
            <family val="2"/>
            <charset val="238"/>
          </rPr>
          <t>Enter measured machine constant VV - Vertical USB in the appropriate cell.
If the machine is not equipped with vertical USB, leave the cell empty and calculations won't be performed.
The value is used for calculations in TormekCalc and BevelCalc sheets and/or for calculations of auxiliary values.</t>
        </r>
      </text>
    </comment>
    <comment ref="H13" authorId="0">
      <text>
        <r>
          <rPr>
            <b/>
            <sz val="8"/>
            <color indexed="81"/>
            <rFont val="Tahoma"/>
            <family val="2"/>
            <charset val="238"/>
          </rPr>
          <t xml:space="preserve">Machine constant HH - Horizontal USB
</t>
        </r>
        <r>
          <rPr>
            <sz val="8"/>
            <color indexed="81"/>
            <rFont val="Tahoma"/>
            <family val="2"/>
            <charset val="238"/>
          </rPr>
          <t>Enter measured machine constant HH - Horizontal USB in the appropriate cell.
If the machine is not equipped with horizontal USB, leave the cell empty and calculations won't be performed.
The value is used for calculations in TormekCalc and BevelCalc sheets and/or for calculations of auxiliary values.</t>
        </r>
      </text>
    </comment>
    <comment ref="H14" authorId="0">
      <text>
        <r>
          <rPr>
            <b/>
            <sz val="8"/>
            <color indexed="81"/>
            <rFont val="Tahoma"/>
            <family val="2"/>
            <charset val="238"/>
          </rPr>
          <t xml:space="preserve">Machine constant VH - Horizontal USB
</t>
        </r>
        <r>
          <rPr>
            <sz val="8"/>
            <color indexed="81"/>
            <rFont val="Tahoma"/>
            <family val="2"/>
            <charset val="238"/>
          </rPr>
          <t>Enter measured machine constant VH - Horizontal USB in the appropriate cell.
If the machine is not equipped with horizontal USB, leave the cell empty and calculations won't be performed.
The value is used for calculations in TormekCalc and BevelCalc sheets and/or for calculations of auxiliary values.</t>
        </r>
      </text>
    </comment>
    <comment ref="H15" authorId="0">
      <text>
        <r>
          <rPr>
            <b/>
            <sz val="8"/>
            <color indexed="81"/>
            <rFont val="Tahoma"/>
            <family val="2"/>
            <charset val="238"/>
          </rPr>
          <t xml:space="preserve">FVB body thickness constant
</t>
        </r>
        <r>
          <rPr>
            <sz val="8"/>
            <color indexed="81"/>
            <rFont val="Tahoma"/>
            <family val="2"/>
            <charset val="238"/>
          </rPr>
          <t>Enter measured FVB body thickness constant in the appropriate cell.
FVB body thickness constant is distance between the axis of FVB support bar and the end of FVB body. It's separate for easier measurement and it's used for Variable length HF - FVB calculation.
If the machine is not equipped with FVB, leave the cell empty and calculations won't be performed.
The value is used for calculations in TormekCalc and BevelCalc sheets and/or for calculations of auxiliary values.</t>
        </r>
      </text>
    </comment>
    <comment ref="H16" authorId="0">
      <text>
        <r>
          <rPr>
            <b/>
            <sz val="8"/>
            <color indexed="81"/>
            <rFont val="Tahoma"/>
            <family val="2"/>
            <charset val="238"/>
          </rPr>
          <t xml:space="preserve">Machine constant VF - Frontal vertical base
</t>
        </r>
        <r>
          <rPr>
            <sz val="8"/>
            <color indexed="81"/>
            <rFont val="Tahoma"/>
            <family val="2"/>
            <charset val="238"/>
          </rPr>
          <t>Enter measured machine constant VF - Frontal vertical base in the appropriate cell.
If the machine is not equipped with FVB, leave the cell empty and calculations won't be performed.
The value is used for calculations in TormekCalc and BevelCalc sheets and/or for calculations of auxiliary values.</t>
        </r>
      </text>
    </comment>
    <comment ref="H17" authorId="0">
      <text>
        <r>
          <rPr>
            <b/>
            <sz val="8"/>
            <color indexed="81"/>
            <rFont val="Tahoma"/>
            <family val="2"/>
            <charset val="238"/>
          </rPr>
          <t xml:space="preserve">Variable length HF - Frontal vertical base
</t>
        </r>
        <r>
          <rPr>
            <sz val="8"/>
            <color indexed="81"/>
            <rFont val="Tahoma"/>
            <family val="2"/>
            <charset val="238"/>
          </rPr>
          <t xml:space="preserve">
Check the result of the formula and edit it when necessary or change values in rows "VH - Horizontal USB constant" and "FVB body thickness constant" to get right value of Variable length HF - Frontal vertical base. The formula requires the inclusion of the variable "FVBOffset" that is loaded from TormekCalc sheet, and which may vary depending on the FVB setting.
For Tormek machines Variable length HF means the distance between Tormek shaft axis A (= wheel axis) and the sleeve end Bh at horizontal support bar (it is the same as "VH - Horizontal USB constant") plus distance between the axis of frontal vertical support bar and the end of frontal vertical base body plus Frontal vertical base offset F.
If the machine is not equipped with FVB, leave the cell untouched, delete "FVB body thickness constant" and calculations won't be performed.
The value is used for calculations in TormekCalc and BevelCalc sheets and/or for calculations of auxiliary values.</t>
        </r>
      </text>
    </comment>
  </commentList>
</comments>
</file>

<file path=xl/sharedStrings.xml><?xml version="1.0" encoding="utf-8"?>
<sst xmlns="http://schemas.openxmlformats.org/spreadsheetml/2006/main" count="477" uniqueCount="327">
  <si>
    <t>Universal support bar diameter [mm]</t>
  </si>
  <si>
    <r>
      <t xml:space="preserve">Wheel radius </t>
    </r>
    <r>
      <rPr>
        <b/>
        <sz val="11"/>
        <color theme="1"/>
        <rFont val="Calibri"/>
        <family val="2"/>
        <charset val="238"/>
        <scheme val="minor"/>
      </rPr>
      <t>R</t>
    </r>
    <r>
      <rPr>
        <sz val="11"/>
        <color theme="1"/>
        <rFont val="Calibri"/>
        <family val="2"/>
        <charset val="238"/>
        <scheme val="minor"/>
      </rPr>
      <t xml:space="preserve"> [mm]</t>
    </r>
  </si>
  <si>
    <r>
      <t xml:space="preserve">USB-center to knife edge </t>
    </r>
    <r>
      <rPr>
        <b/>
        <sz val="11"/>
        <color theme="1"/>
        <rFont val="Calibri"/>
        <family val="2"/>
        <charset val="238"/>
        <scheme val="minor"/>
      </rPr>
      <t>CG</t>
    </r>
    <r>
      <rPr>
        <sz val="11"/>
        <color theme="1"/>
        <rFont val="Calibri"/>
        <family val="2"/>
        <charset val="238"/>
        <scheme val="minor"/>
      </rPr>
      <t xml:space="preserve"> [mm]</t>
    </r>
  </si>
  <si>
    <r>
      <t>Angular offset</t>
    </r>
    <r>
      <rPr>
        <b/>
        <sz val="11"/>
        <color theme="1"/>
        <rFont val="Calibri"/>
        <family val="2"/>
        <charset val="238"/>
        <scheme val="minor"/>
      </rPr>
      <t xml:space="preserve"> ∂k</t>
    </r>
    <r>
      <rPr>
        <sz val="11"/>
        <color theme="1"/>
        <rFont val="Calibri"/>
        <family val="2"/>
        <charset val="238"/>
        <scheme val="minor"/>
      </rPr>
      <t xml:space="preserve">  [°]</t>
    </r>
  </si>
  <si>
    <r>
      <t xml:space="preserve">Jig-center to USB-center offset </t>
    </r>
    <r>
      <rPr>
        <b/>
        <sz val="11"/>
        <color theme="1"/>
        <rFont val="Calibri"/>
        <family val="2"/>
        <charset val="238"/>
        <scheme val="minor"/>
      </rPr>
      <t>JC</t>
    </r>
    <r>
      <rPr>
        <sz val="11"/>
        <color theme="1"/>
        <rFont val="Calibri"/>
        <family val="2"/>
        <charset val="238"/>
        <scheme val="minor"/>
      </rPr>
      <t xml:space="preserve"> [mm]</t>
    </r>
  </si>
  <si>
    <t>SG-250</t>
  </si>
  <si>
    <t>SB-250</t>
  </si>
  <si>
    <t>Sun Tiger 800</t>
  </si>
  <si>
    <t>SJ-250</t>
  </si>
  <si>
    <t>DC-250</t>
  </si>
  <si>
    <t>Sun Tiger 4000</t>
  </si>
  <si>
    <t>DF-250</t>
  </si>
  <si>
    <t>DE-250</t>
  </si>
  <si>
    <t>Grit</t>
  </si>
  <si>
    <t>-</t>
  </si>
  <si>
    <t>Wheel</t>
  </si>
  <si>
    <t>Jig or Tool projection length X [mm]</t>
  </si>
  <si>
    <t>S VUSB [mm] - calculated</t>
  </si>
  <si>
    <t>H VUSB  [mm] - calculated</t>
  </si>
  <si>
    <t>S HUSB [mm] - calculated</t>
  </si>
  <si>
    <t>H HUSB  [mm] - calculated</t>
  </si>
  <si>
    <t>S FUSB [mm] - calculated</t>
  </si>
  <si>
    <t>H FUSB  [mm] - calculated</t>
  </si>
  <si>
    <t>Bevel angle Δ [°] - Vertical USB</t>
  </si>
  <si>
    <t>Bevel angle Δ [°] - Horizontal USB</t>
  </si>
  <si>
    <t>Bevel angle Δ [°] - Frontal vertical base</t>
  </si>
  <si>
    <t>Nominal diameter</t>
  </si>
  <si>
    <t>Jig specification</t>
  </si>
  <si>
    <t>Sharpening</t>
  </si>
  <si>
    <t>Manufacturer</t>
  </si>
  <si>
    <t>Type</t>
  </si>
  <si>
    <t>Owner</t>
  </si>
  <si>
    <t>Total length</t>
  </si>
  <si>
    <t>Blade length</t>
  </si>
  <si>
    <t>Edge length</t>
  </si>
  <si>
    <t>Blade height</t>
  </si>
  <si>
    <t>Thickness</t>
  </si>
  <si>
    <t>Grind profile</t>
  </si>
  <si>
    <t>Material</t>
  </si>
  <si>
    <t>HRC</t>
  </si>
  <si>
    <t>Jig proj. X</t>
  </si>
  <si>
    <t>SVM-45</t>
  </si>
  <si>
    <t>Hollow</t>
  </si>
  <si>
    <t>Model</t>
  </si>
  <si>
    <t>Knife specification</t>
  </si>
  <si>
    <t>Blade bevel</t>
  </si>
  <si>
    <t>Real diameter D [mm]</t>
  </si>
  <si>
    <t>Used value</t>
  </si>
  <si>
    <t>Input</t>
  </si>
  <si>
    <t>Grinding angle Δ [°]</t>
  </si>
  <si>
    <t>Declared (manufacturer specification)</t>
  </si>
  <si>
    <t>Custom 1</t>
  </si>
  <si>
    <t>Custom 2</t>
  </si>
  <si>
    <r>
      <t xml:space="preserve">Jig-length to knife edge </t>
    </r>
    <r>
      <rPr>
        <b/>
        <sz val="11"/>
        <color theme="1"/>
        <rFont val="Calibri"/>
        <family val="2"/>
        <charset val="238"/>
        <scheme val="minor"/>
      </rPr>
      <t xml:space="preserve">JG </t>
    </r>
    <r>
      <rPr>
        <sz val="11"/>
        <color theme="1"/>
        <rFont val="Calibri"/>
        <family val="2"/>
        <charset val="238"/>
        <scheme val="minor"/>
      </rPr>
      <t>[mm]</t>
    </r>
  </si>
  <si>
    <t>Wheel diameter D [mm] or wheel type</t>
  </si>
  <si>
    <r>
      <t xml:space="preserve">Jig-length to knife edge </t>
    </r>
    <r>
      <rPr>
        <b/>
        <sz val="11"/>
        <color theme="1"/>
        <rFont val="Calibri"/>
        <family val="2"/>
        <charset val="238"/>
        <scheme val="minor"/>
      </rPr>
      <t>JG</t>
    </r>
    <r>
      <rPr>
        <sz val="11"/>
        <color theme="1"/>
        <rFont val="Calibri"/>
        <family val="2"/>
        <charset val="238"/>
        <scheme val="minor"/>
      </rPr>
      <t xml:space="preserve"> [mm]</t>
    </r>
  </si>
  <si>
    <t>Jig or Tool diameter M [mm]</t>
  </si>
  <si>
    <t>Jig dia M</t>
  </si>
  <si>
    <t xml:space="preserve">   or input a height of USB</t>
  </si>
  <si>
    <t>Universal support bar (USB) diameter U [mm]</t>
  </si>
  <si>
    <t>Frontal vertical base offset F [mm]</t>
  </si>
  <si>
    <t>Frontal vertical base ofsett F [mm]</t>
  </si>
  <si>
    <r>
      <t>Constant HV</t>
    </r>
    <r>
      <rPr>
        <sz val="11"/>
        <color theme="1"/>
        <rFont val="Calibri"/>
        <family val="2"/>
        <charset val="238"/>
        <scheme val="minor"/>
      </rPr>
      <t xml:space="preserve"> - Vertical USB [mm]</t>
    </r>
  </si>
  <si>
    <r>
      <t>Constant VV</t>
    </r>
    <r>
      <rPr>
        <sz val="11"/>
        <color theme="1"/>
        <rFont val="Calibri"/>
        <family val="2"/>
        <charset val="238"/>
        <scheme val="minor"/>
      </rPr>
      <t xml:space="preserve"> - Vertical USB [mm]</t>
    </r>
  </si>
  <si>
    <r>
      <t>Constant HH</t>
    </r>
    <r>
      <rPr>
        <sz val="11"/>
        <color theme="1"/>
        <rFont val="Calibri"/>
        <family val="2"/>
        <charset val="238"/>
        <scheme val="minor"/>
      </rPr>
      <t xml:space="preserve"> - Horizontal USB [mm]</t>
    </r>
  </si>
  <si>
    <t>Constant VH - Horizontal USB [mm]</t>
  </si>
  <si>
    <r>
      <t>Variable length HF</t>
    </r>
    <r>
      <rPr>
        <sz val="11"/>
        <color theme="1"/>
        <rFont val="Calibri"/>
        <family val="2"/>
        <charset val="238"/>
        <scheme val="minor"/>
      </rPr>
      <t xml:space="preserve"> - Frontal vertical base [mm]</t>
    </r>
  </si>
  <si>
    <r>
      <t>Constant VF</t>
    </r>
    <r>
      <rPr>
        <sz val="11"/>
        <color theme="1"/>
        <rFont val="Calibri"/>
        <family val="2"/>
        <charset val="238"/>
        <scheme val="minor"/>
      </rPr>
      <t xml:space="preserve"> - Frontal vertical base [mm]</t>
    </r>
  </si>
  <si>
    <r>
      <t>Constant VH</t>
    </r>
    <r>
      <rPr>
        <sz val="11"/>
        <color theme="1"/>
        <rFont val="Calibri"/>
        <family val="2"/>
        <charset val="238"/>
        <scheme val="minor"/>
      </rPr>
      <t xml:space="preserve"> - Horizontal USB [mm]</t>
    </r>
  </si>
  <si>
    <t>Top of USB to wheel surface T [mm]</t>
  </si>
  <si>
    <t>Height VUSB [mm]</t>
  </si>
  <si>
    <t>Height HUSB [mm]</t>
  </si>
  <si>
    <t>Height FUSB [mm]</t>
  </si>
  <si>
    <t>Vertical USB height (Height VUSB) [mm]</t>
  </si>
  <si>
    <t>Horizontal USB height (Height HUSB) [mm]</t>
  </si>
  <si>
    <t>Frontal vertical base height (Height FUSB) [mm]</t>
  </si>
  <si>
    <t>Index</t>
  </si>
  <si>
    <t>High Flat</t>
  </si>
  <si>
    <t>SVM-00</t>
  </si>
  <si>
    <t>ANV</t>
  </si>
  <si>
    <t>D2</t>
  </si>
  <si>
    <t>P200</t>
  </si>
  <si>
    <t>T USB [mm]</t>
  </si>
  <si>
    <t>Scandi</t>
  </si>
  <si>
    <t>CMV-5</t>
  </si>
  <si>
    <t>ST800, SJ, LA, LA-FlexCut</t>
  </si>
  <si>
    <t>Chisel</t>
  </si>
  <si>
    <t>SE-77</t>
  </si>
  <si>
    <t>SVS-38</t>
  </si>
  <si>
    <t>Short Tool Jig</t>
  </si>
  <si>
    <t>SVD-186</t>
  </si>
  <si>
    <t>Gouge Jig</t>
  </si>
  <si>
    <t>SVD-110</t>
  </si>
  <si>
    <t>Tool Rest</t>
  </si>
  <si>
    <t>Square Edge Jig</t>
  </si>
  <si>
    <t>Edge height</t>
  </si>
  <si>
    <t>Wheel radius R [mm]</t>
  </si>
  <si>
    <r>
      <t xml:space="preserve">Real length of the grind </t>
    </r>
    <r>
      <rPr>
        <b/>
        <sz val="11"/>
        <color theme="1"/>
        <rFont val="Calibri"/>
        <family val="2"/>
        <charset val="238"/>
        <scheme val="minor"/>
      </rPr>
      <t>LRA</t>
    </r>
    <r>
      <rPr>
        <sz val="11"/>
        <color theme="1"/>
        <rFont val="Calibri"/>
        <family val="2"/>
        <charset val="238"/>
        <scheme val="minor"/>
      </rPr>
      <t xml:space="preserve"> (arc length) [mm]</t>
    </r>
  </si>
  <si>
    <t>Angle of the chord LR [°] (average deviation edge tip vs heel)</t>
  </si>
  <si>
    <t>Central angle of the chord LR [°] (= difference edge tip vs heel)</t>
  </si>
  <si>
    <t>Angle at the edge heel [°]</t>
  </si>
  <si>
    <r>
      <t xml:space="preserve">Length of chord collinear with the knife axis </t>
    </r>
    <r>
      <rPr>
        <b/>
        <sz val="11"/>
        <color theme="1"/>
        <rFont val="Calibri"/>
        <family val="2"/>
        <charset val="238"/>
        <scheme val="minor"/>
      </rPr>
      <t>CC</t>
    </r>
    <r>
      <rPr>
        <sz val="11"/>
        <color theme="1"/>
        <rFont val="Calibri"/>
        <family val="2"/>
        <charset val="238"/>
        <scheme val="minor"/>
      </rPr>
      <t xml:space="preserve"> [mm]</t>
    </r>
  </si>
  <si>
    <r>
      <t xml:space="preserve">Height of the segment </t>
    </r>
    <r>
      <rPr>
        <b/>
        <sz val="11"/>
        <color rgb="FF000000"/>
        <rFont val="Calibri"/>
        <family val="2"/>
        <charset val="238"/>
        <scheme val="minor"/>
      </rPr>
      <t>HCC</t>
    </r>
    <r>
      <rPr>
        <sz val="11"/>
        <color rgb="FF000000"/>
        <rFont val="Calibri"/>
        <family val="2"/>
        <charset val="238"/>
        <scheme val="minor"/>
      </rPr>
      <t xml:space="preserve"> [mm]</t>
    </r>
  </si>
  <si>
    <r>
      <t xml:space="preserve">Height of the segment with blade thickness </t>
    </r>
    <r>
      <rPr>
        <b/>
        <sz val="11"/>
        <color rgb="FF000000"/>
        <rFont val="Calibri"/>
        <family val="2"/>
        <charset val="238"/>
        <scheme val="minor"/>
      </rPr>
      <t>HCT</t>
    </r>
    <r>
      <rPr>
        <sz val="11"/>
        <color rgb="FF000000"/>
        <rFont val="Calibri"/>
        <family val="2"/>
        <charset val="238"/>
        <scheme val="minor"/>
      </rPr>
      <t xml:space="preserve"> [mm]</t>
    </r>
  </si>
  <si>
    <r>
      <t xml:space="preserve">Length of chord collinear with blade </t>
    </r>
    <r>
      <rPr>
        <b/>
        <sz val="11"/>
        <color rgb="FF000000"/>
        <rFont val="Calibri"/>
        <family val="2"/>
        <charset val="238"/>
        <scheme val="minor"/>
      </rPr>
      <t>LCT</t>
    </r>
    <r>
      <rPr>
        <sz val="11"/>
        <color rgb="FF000000"/>
        <rFont val="Calibri"/>
        <family val="2"/>
        <charset val="238"/>
        <scheme val="minor"/>
      </rPr>
      <t xml:space="preserve"> [mm]</t>
    </r>
  </si>
  <si>
    <t>Tools</t>
  </si>
  <si>
    <t>Knives</t>
  </si>
  <si>
    <t>SVM-140</t>
  </si>
  <si>
    <t>Picture</t>
  </si>
  <si>
    <t>Edge thickness</t>
  </si>
  <si>
    <t>No.</t>
  </si>
  <si>
    <t>JigsKnivesDL</t>
  </si>
  <si>
    <t>JigsToolsDL</t>
  </si>
  <si>
    <t>Use</t>
  </si>
  <si>
    <t>Jig selection</t>
  </si>
  <si>
    <t>KnivesList</t>
  </si>
  <si>
    <t>ToolsList</t>
  </si>
  <si>
    <t>Procedure</t>
  </si>
  <si>
    <t>Jig type</t>
  </si>
  <si>
    <t>Value</t>
  </si>
  <si>
    <t>Default Grinding angle</t>
  </si>
  <si>
    <t>Grinded</t>
  </si>
  <si>
    <t>Not available / unknown</t>
  </si>
  <si>
    <t>n/a</t>
  </si>
  <si>
    <t>Jig setting</t>
  </si>
  <si>
    <t>USB height</t>
  </si>
  <si>
    <t>Measurement</t>
  </si>
  <si>
    <t>SVM-45 E</t>
  </si>
  <si>
    <t>SVM-140 E</t>
  </si>
  <si>
    <t>SVM-00 E</t>
  </si>
  <si>
    <t>Full Flat</t>
  </si>
  <si>
    <t>Grind height</t>
  </si>
  <si>
    <t>Last sharpenning procedure</t>
  </si>
  <si>
    <t>Edge bevel angle Δ [°]</t>
  </si>
  <si>
    <t>Notes</t>
  </si>
  <si>
    <t>SG, ST800, SJ, LA-FlexCut</t>
  </si>
  <si>
    <t>JigsToolsNC</t>
  </si>
  <si>
    <t>JigsToolsALL</t>
  </si>
  <si>
    <t>Tools NC</t>
  </si>
  <si>
    <t>SVX-150</t>
  </si>
  <si>
    <t>Scissors</t>
  </si>
  <si>
    <t>SVA-170</t>
  </si>
  <si>
    <t>Axe</t>
  </si>
  <si>
    <t>Not auto-calculated in TormekCalc.</t>
  </si>
  <si>
    <t>Using with SVM-45.</t>
  </si>
  <si>
    <t>Using with SVM-45 E.</t>
  </si>
  <si>
    <t>Not managed in TormekCalc by default.</t>
  </si>
  <si>
    <t>Default Tool Jig diameter</t>
  </si>
  <si>
    <t>Default Knife Jig diameter</t>
  </si>
  <si>
    <t>Blade material</t>
  </si>
  <si>
    <t>from G</t>
  </si>
  <si>
    <t>from S</t>
  </si>
  <si>
    <r>
      <t>Clamping (</t>
    </r>
    <r>
      <rPr>
        <b/>
        <sz val="10"/>
        <color theme="1"/>
        <rFont val="Calibri"/>
        <family val="2"/>
        <charset val="238"/>
        <scheme val="minor"/>
      </rPr>
      <t>ji</t>
    </r>
    <r>
      <rPr>
        <b/>
        <sz val="11"/>
        <color theme="1"/>
        <rFont val="Calibri"/>
        <family val="2"/>
        <charset val="238"/>
        <scheme val="minor"/>
      </rPr>
      <t>G/S</t>
    </r>
    <r>
      <rPr>
        <b/>
        <sz val="10"/>
        <color theme="1"/>
        <rFont val="Calibri"/>
        <family val="2"/>
        <charset val="238"/>
        <scheme val="minor"/>
      </rPr>
      <t>ide</t>
    </r>
    <r>
      <rPr>
        <b/>
        <sz val="11"/>
        <color theme="1"/>
        <rFont val="Calibri"/>
        <family val="2"/>
        <charset val="238"/>
        <scheme val="minor"/>
      </rPr>
      <t>)</t>
    </r>
    <r>
      <rPr>
        <b/>
        <sz val="10"/>
        <color theme="1"/>
        <rFont val="Calibri"/>
        <family val="2"/>
        <charset val="238"/>
        <scheme val="minor"/>
      </rPr>
      <t xml:space="preserve"> [mm]</t>
    </r>
  </si>
  <si>
    <t>Min. height of VUSB / US-105</t>
  </si>
  <si>
    <t>Max. height of VUSB / US-105</t>
  </si>
  <si>
    <t>Min. height of HUSB+FUSB / US-105</t>
  </si>
  <si>
    <t>Min. height of VUSB / US-430</t>
  </si>
  <si>
    <t>Max. height of VUSB / US-430</t>
  </si>
  <si>
    <t>Min. height of HUSB+FUSB / US-430</t>
  </si>
  <si>
    <r>
      <t xml:space="preserve">LA-220  </t>
    </r>
    <r>
      <rPr>
        <b/>
        <sz val="10"/>
        <color theme="1"/>
        <rFont val="Calibri"/>
        <family val="2"/>
        <charset val="238"/>
        <scheme val="minor"/>
      </rPr>
      <t>FlexCut</t>
    </r>
  </si>
  <si>
    <r>
      <t>LA-220</t>
    </r>
    <r>
      <rPr>
        <b/>
        <sz val="10"/>
        <color theme="1"/>
        <rFont val="Calibri"/>
        <family val="2"/>
        <charset val="238"/>
        <scheme val="minor"/>
      </rPr>
      <t xml:space="preserve">  Chromox</t>
    </r>
  </si>
  <si>
    <r>
      <t>LA-220</t>
    </r>
    <r>
      <rPr>
        <b/>
        <sz val="10"/>
        <color theme="1"/>
        <rFont val="Calibri"/>
        <family val="2"/>
        <charset val="238"/>
        <scheme val="minor"/>
      </rPr>
      <t xml:space="preserve">  PA-77</t>
    </r>
  </si>
  <si>
    <t>SheetName</t>
  </si>
  <si>
    <t>Knife</t>
  </si>
  <si>
    <t>Tool</t>
  </si>
  <si>
    <t>InCellName</t>
  </si>
  <si>
    <t>Empty database</t>
  </si>
  <si>
    <t>Select database</t>
  </si>
  <si>
    <t>Default Jig projection length</t>
  </si>
  <si>
    <t>Min. FVB distance F</t>
  </si>
  <si>
    <t>Default USB diameter</t>
  </si>
  <si>
    <t>Variable length HF - FVB</t>
  </si>
  <si>
    <t xml:space="preserve">Default VV - Vertical USB constant </t>
  </si>
  <si>
    <t xml:space="preserve">Default HV - Vertical USB constant </t>
  </si>
  <si>
    <t>Default HH - Horizontal USB constant</t>
  </si>
  <si>
    <t>Default VH - Horizontal USB constant</t>
  </si>
  <si>
    <t xml:space="preserve">Default FVB body thickness constant </t>
  </si>
  <si>
    <t>Default VF - FVB constant</t>
  </si>
  <si>
    <t>Database</t>
  </si>
  <si>
    <t>Default wheel diameter</t>
  </si>
  <si>
    <r>
      <t xml:space="preserve">Height of the </t>
    </r>
    <r>
      <rPr>
        <b/>
        <sz val="11"/>
        <color theme="1"/>
        <rFont val="Calibri"/>
        <family val="2"/>
        <charset val="238"/>
        <scheme val="minor"/>
      </rPr>
      <t>flat</t>
    </r>
    <r>
      <rPr>
        <sz val="11"/>
        <color theme="1"/>
        <rFont val="Calibri"/>
        <family val="2"/>
        <charset val="238"/>
        <scheme val="minor"/>
      </rPr>
      <t xml:space="preserve"> (ideal) grind parallel with the axis </t>
    </r>
    <r>
      <rPr>
        <b/>
        <sz val="11"/>
        <color theme="1"/>
        <rFont val="Calibri"/>
        <family val="2"/>
        <charset val="238"/>
        <scheme val="minor"/>
      </rPr>
      <t>HF</t>
    </r>
    <r>
      <rPr>
        <sz val="11"/>
        <color theme="1"/>
        <rFont val="Calibri"/>
        <family val="2"/>
        <charset val="238"/>
        <scheme val="minor"/>
      </rPr>
      <t xml:space="preserve"> [mm]</t>
    </r>
  </si>
  <si>
    <r>
      <t xml:space="preserve">Length of the </t>
    </r>
    <r>
      <rPr>
        <b/>
        <sz val="11"/>
        <color theme="1"/>
        <rFont val="Calibri"/>
        <family val="2"/>
        <charset val="238"/>
        <scheme val="minor"/>
      </rPr>
      <t>flat</t>
    </r>
    <r>
      <rPr>
        <sz val="11"/>
        <color theme="1"/>
        <rFont val="Calibri"/>
        <family val="2"/>
        <charset val="238"/>
        <scheme val="minor"/>
      </rPr>
      <t xml:space="preserve"> (ideal) grind </t>
    </r>
    <r>
      <rPr>
        <b/>
        <sz val="11"/>
        <color theme="1"/>
        <rFont val="Calibri"/>
        <family val="2"/>
        <charset val="238"/>
        <scheme val="minor"/>
      </rPr>
      <t>LF</t>
    </r>
    <r>
      <rPr>
        <sz val="11"/>
        <color theme="1"/>
        <rFont val="Calibri"/>
        <family val="2"/>
        <charset val="238"/>
        <scheme val="minor"/>
      </rPr>
      <t xml:space="preserve"> [mm]</t>
    </r>
  </si>
  <si>
    <r>
      <rPr>
        <b/>
        <sz val="11"/>
        <color theme="1"/>
        <rFont val="Calibri"/>
        <family val="2"/>
        <charset val="238"/>
        <scheme val="minor"/>
      </rPr>
      <t>Real height</t>
    </r>
    <r>
      <rPr>
        <sz val="11"/>
        <color theme="1"/>
        <rFont val="Calibri"/>
        <family val="2"/>
        <charset val="238"/>
        <scheme val="minor"/>
      </rPr>
      <t xml:space="preserve"> of the grind parallel with the axis </t>
    </r>
    <r>
      <rPr>
        <b/>
        <sz val="11"/>
        <color theme="1"/>
        <rFont val="Calibri"/>
        <family val="2"/>
        <charset val="238"/>
        <scheme val="minor"/>
      </rPr>
      <t>HR</t>
    </r>
    <r>
      <rPr>
        <sz val="11"/>
        <color theme="1"/>
        <rFont val="Calibri"/>
        <family val="2"/>
        <charset val="238"/>
        <scheme val="minor"/>
      </rPr>
      <t xml:space="preserve"> [mm]</t>
    </r>
  </si>
  <si>
    <r>
      <rPr>
        <b/>
        <sz val="11"/>
        <color theme="1"/>
        <rFont val="Calibri"/>
        <family val="2"/>
        <charset val="238"/>
        <scheme val="minor"/>
      </rPr>
      <t>Real length</t>
    </r>
    <r>
      <rPr>
        <sz val="11"/>
        <color theme="1"/>
        <rFont val="Calibri"/>
        <family val="2"/>
        <charset val="238"/>
        <scheme val="minor"/>
      </rPr>
      <t xml:space="preserve"> of the grind </t>
    </r>
    <r>
      <rPr>
        <b/>
        <sz val="11"/>
        <color theme="1"/>
        <rFont val="Calibri"/>
        <family val="2"/>
        <charset val="238"/>
        <scheme val="minor"/>
      </rPr>
      <t>LR</t>
    </r>
    <r>
      <rPr>
        <sz val="11"/>
        <color theme="1"/>
        <rFont val="Calibri"/>
        <family val="2"/>
        <charset val="238"/>
        <scheme val="minor"/>
      </rPr>
      <t xml:space="preserve"> (line/chord) [mm]</t>
    </r>
  </si>
  <si>
    <t>Default setting description</t>
  </si>
  <si>
    <t>Default values</t>
  </si>
  <si>
    <t>Machines</t>
  </si>
  <si>
    <t>Machine 1</t>
  </si>
  <si>
    <t>Machine 2</t>
  </si>
  <si>
    <t>Machine 3</t>
  </si>
  <si>
    <t>Machine 4</t>
  </si>
  <si>
    <t>Machine 5</t>
  </si>
  <si>
    <t>USB diameter</t>
  </si>
  <si>
    <t>HH - Horizontal USB constant</t>
  </si>
  <si>
    <t>VH - Horizontal USB constant</t>
  </si>
  <si>
    <t>VF - FVB constant</t>
  </si>
  <si>
    <t>Setting description</t>
  </si>
  <si>
    <t>Machine</t>
  </si>
  <si>
    <t>Machine type</t>
  </si>
  <si>
    <t>&lt;not used&gt;</t>
  </si>
  <si>
    <t>Any grinder</t>
  </si>
  <si>
    <t>HV - Vertical USB constant</t>
  </si>
  <si>
    <t>VV - Vertical USB constant</t>
  </si>
  <si>
    <t>FVB body thickness constant</t>
  </si>
  <si>
    <t>Measured</t>
  </si>
  <si>
    <r>
      <t xml:space="preserve">Last Grinded | Measured angle </t>
    </r>
    <r>
      <rPr>
        <sz val="8"/>
        <color theme="1"/>
        <rFont val="Calibri"/>
        <family val="2"/>
        <charset val="238"/>
        <scheme val="minor"/>
      </rPr>
      <t>(before sharp.)</t>
    </r>
    <r>
      <rPr>
        <sz val="11"/>
        <color theme="1"/>
        <rFont val="Calibri"/>
        <family val="2"/>
        <charset val="238"/>
        <scheme val="minor"/>
      </rPr>
      <t xml:space="preserve"> [°]</t>
    </r>
  </si>
  <si>
    <t>EdgeCalc</t>
  </si>
  <si>
    <t>BevelCalc</t>
  </si>
  <si>
    <t>Small Knife Holder</t>
  </si>
  <si>
    <t>Multi Jig</t>
  </si>
  <si>
    <t>Scissors Jig</t>
  </si>
  <si>
    <t>Axe Jig</t>
  </si>
  <si>
    <t>Jig diameter M [mm]</t>
  </si>
  <si>
    <t>Projection length correction X+ [mm]</t>
  </si>
  <si>
    <t>Jigs specification</t>
  </si>
  <si>
    <t>Machine description</t>
  </si>
  <si>
    <t>Default FVB distance F</t>
  </si>
  <si>
    <t>Auxiliary values</t>
  </si>
  <si>
    <t>See https://www.tormek.com/forum/index.php?topic=3918.0</t>
  </si>
  <si>
    <t>with BGM-100</t>
  </si>
  <si>
    <t>USB diameter (Tormek US-105)</t>
  </si>
  <si>
    <t>&lt;blank&gt;</t>
  </si>
  <si>
    <t>measured +85,2 mm</t>
  </si>
  <si>
    <t>measured -20,0 mm</t>
  </si>
  <si>
    <t>12,0 mm</t>
  </si>
  <si>
    <t>37,2 mm</t>
  </si>
  <si>
    <t>56,0 mm</t>
  </si>
  <si>
    <t>Grinder XY</t>
  </si>
  <si>
    <t>Machine type (required)</t>
  </si>
  <si>
    <t>Machine description (optional)</t>
  </si>
  <si>
    <t>146,70 mm</t>
  </si>
  <si>
    <t>Testing values</t>
  </si>
  <si>
    <t>Now is possible to select machine from drop-down list in TormekCalc and BevelCalc sheets.</t>
  </si>
  <si>
    <r>
      <t xml:space="preserve">HV - Vertical USB constant - </t>
    </r>
    <r>
      <rPr>
        <sz val="10"/>
        <color rgb="FFC00000"/>
        <rFont val="Calibri"/>
        <family val="2"/>
        <charset val="238"/>
        <scheme val="minor"/>
      </rPr>
      <t>not equipped</t>
    </r>
  </si>
  <si>
    <r>
      <t xml:space="preserve">VV - Vertical USB constant - </t>
    </r>
    <r>
      <rPr>
        <sz val="10"/>
        <color rgb="FFC00000"/>
        <rFont val="Calibri"/>
        <family val="2"/>
        <charset val="238"/>
        <scheme val="minor"/>
      </rPr>
      <t>not equipped</t>
    </r>
  </si>
  <si>
    <r>
      <t xml:space="preserve">HH - Horizontal USB constant - </t>
    </r>
    <r>
      <rPr>
        <sz val="10"/>
        <color rgb="FF00B050"/>
        <rFont val="Calibri"/>
        <family val="2"/>
        <charset val="238"/>
        <scheme val="minor"/>
      </rPr>
      <t>mounted BGM-100</t>
    </r>
  </si>
  <si>
    <r>
      <t xml:space="preserve">VH - Horizontal USB constant - </t>
    </r>
    <r>
      <rPr>
        <sz val="10"/>
        <color rgb="FF00B050"/>
        <rFont val="Calibri"/>
        <family val="2"/>
        <charset val="238"/>
        <scheme val="minor"/>
      </rPr>
      <t>mounted BGM-100</t>
    </r>
  </si>
  <si>
    <r>
      <t>FVB body thickness constant -</t>
    </r>
    <r>
      <rPr>
        <sz val="10"/>
        <color rgb="FFCC9900"/>
        <rFont val="Calibri"/>
        <family val="2"/>
        <charset val="238"/>
        <scheme val="minor"/>
      </rPr>
      <t xml:space="preserve"> </t>
    </r>
    <r>
      <rPr>
        <sz val="10"/>
        <color rgb="FF00B050"/>
        <rFont val="Calibri"/>
        <family val="2"/>
        <charset val="238"/>
        <scheme val="minor"/>
      </rPr>
      <t>present FVB can be used</t>
    </r>
  </si>
  <si>
    <r>
      <t xml:space="preserve">VF - FVB constant - </t>
    </r>
    <r>
      <rPr>
        <sz val="10"/>
        <color rgb="FF00B050"/>
        <rFont val="Calibri"/>
        <family val="2"/>
        <charset val="238"/>
        <scheme val="minor"/>
      </rPr>
      <t>present FVB can be used</t>
    </r>
  </si>
  <si>
    <r>
      <t xml:space="preserve">Variable length HF - FVB - </t>
    </r>
    <r>
      <rPr>
        <sz val="10"/>
        <color rgb="FF00B050"/>
        <rFont val="Calibri"/>
        <family val="2"/>
        <charset val="238"/>
        <scheme val="minor"/>
      </rPr>
      <t>formula is O.K.</t>
    </r>
  </si>
  <si>
    <t>Edge thickness | Edge height [mm]</t>
  </si>
  <si>
    <t>Position 3</t>
  </si>
  <si>
    <t>Jig</t>
  </si>
  <si>
    <t>Knife Jig</t>
  </si>
  <si>
    <t>Lonf Knife Jig</t>
  </si>
  <si>
    <t>Long Knife Jig</t>
  </si>
  <si>
    <t xml:space="preserve">Projection length can be defined, but clamping ("Jig diameter") and jig </t>
  </si>
  <si>
    <t>Setting info can be stored in the Knives or Tools sheet for future reference.</t>
  </si>
  <si>
    <t>See https://www.tormek.com/forum/index.php?topic=4129.0 for FVB documentation.</t>
  </si>
  <si>
    <t>see FAQ for details.</t>
  </si>
  <si>
    <t>With eccentric bushing for easy knife axis centering.</t>
  </si>
  <si>
    <t>setting vary on different tools. Use manual inputs for calculations.</t>
  </si>
  <si>
    <t>(USB diameter is compensated in calculations).</t>
  </si>
  <si>
    <t>SVS-50 closed seat</t>
  </si>
  <si>
    <t>SVS-50 open seat</t>
  </si>
  <si>
    <t>For precise single bevel grind edge thickness compensation is required,</t>
  </si>
  <si>
    <t>For precise double bevel grind edge thickness compensation is required,</t>
  </si>
  <si>
    <t>Not auto-calculated in TormekCalc. Grinding angle depends on tool shape</t>
  </si>
  <si>
    <t>and thickness. Use manual inputs for calculations.</t>
  </si>
  <si>
    <t>Frequently Asked Questions (FAQ)</t>
  </si>
  <si>
    <t>Q:</t>
  </si>
  <si>
    <t>A:</t>
  </si>
  <si>
    <t>Example:</t>
  </si>
  <si>
    <t>Last USB height [mm]</t>
  </si>
  <si>
    <t>What is Frontal vertical base (FVB) and what is the reason or advantage when using this?</t>
  </si>
  <si>
    <t>Be sure to update the grinding wheel specification in the column with selected machine.</t>
  </si>
  <si>
    <t>FVB is an unoriginal accessory for Tormek machines (or other) that you gives you some more possibilites when grinding. You can make it or buy it, the production documentation for my version of FVB you can find at https://www.tormek.com/forum/index.php?topic=4129.0.</t>
  </si>
  <si>
    <t>The main reason why I started using it was possibility to grind wide knives and choppers. Standard version of universal support bar US-105 allows grinding up to maximum jig projection length X = 150 mm (approx.) for grinding angle Δ = 20°, ie. that the maximum possible blade height in the SVM-45 is about 55 mm, and this may not be enough. With the release of US-430, the situation has changed since it is 54 mm higher and this allows the maximum projection length for a grinding angle of 20 ° up to about 210 mm, ie. maximum possible blade height in the SVM-45 is about 115 mm, which is sufficient in most cases.</t>
  </si>
  <si>
    <t>The current advantage of the FVB is an even greater working range for grinding away from the edge and for me also more ergonomic placement, and thus subjectively a little bit better control during grinding and honing. It is not true that using FVB you can achieve higher sharpness, the same results can be achieved on a standard horizontal base too. Higher sharpness does not depend on where the support is located, but on the precise adjustment of the grinding angle between different grinding and polishing wheels and the grinding procedure.</t>
  </si>
  <si>
    <t>How can I check the height calculations for different Univesal support bars (USB's)?</t>
  </si>
  <si>
    <t>Use T dimension (distance from USB to wheel surface S). This dimension stays the same for all USB's on the same wheel.</t>
  </si>
  <si>
    <t>Set the USB to the calculated distance T USB and then measure appropriate USB height. Compare measured value with the calculated one. If the values match, the constants for the selected support are set correctly, if not, the dimensions of the constants must be checked/re-measured. Repeat the procedure for next USB. Measure on trued wheel or use the same point on the surface to eliminate deviations given by an uneven wheel. You can use inserted spacer between the wheel and the USB for easy setting because precise measuring T distance can be tricky without suitable tool. Calculate the corresponding grinding angle in BevelCalc in this case.</t>
  </si>
  <si>
    <t>TormekCalc calculations are made in the axis of the knife, so results are valid for symmetrical edges only. Can I use TormekCalc for asymmetrical or single bevel blades?</t>
  </si>
  <si>
    <t>I use other software and it gives different results. Why?</t>
  </si>
  <si>
    <t>I appreciate your making this spreadsheet, it's exactly what I was looking for. Can I support future development by small donation?</t>
  </si>
  <si>
    <t>I don't use / need all rows, columns, sheets etc. displayed in TormekCalc. Can I delete them?</t>
  </si>
  <si>
    <t>Bess</t>
  </si>
  <si>
    <t>Default edge thickness</t>
  </si>
  <si>
    <r>
      <t>TormekCalc</t>
    </r>
    <r>
      <rPr>
        <b/>
        <vertAlign val="superscript"/>
        <sz val="12"/>
        <color rgb="FF000000"/>
        <rFont val="Calibri"/>
        <family val="2"/>
        <charset val="238"/>
        <scheme val="minor"/>
      </rPr>
      <t>2</t>
    </r>
  </si>
  <si>
    <t>Is TormekCalc2 compatible with other spreadsheet programs?</t>
  </si>
  <si>
    <t>jvh</t>
  </si>
  <si>
    <t>TormekCalc2 version</t>
  </si>
  <si>
    <t>2.01</t>
  </si>
  <si>
    <t>I do not recommend deleting any of the above due to the possible disruption of functionality. Some parts of TormekCalc are hidden by default (auxiliary formulas and data) and you risk losing them. The safe way is to hide unused rows, columns or sheets by right-click on the selected object and choosing Hide. If you really want to delete something, make a backup first and after making changes check the functionality of the TormekCalc thoroughly.</t>
  </si>
  <si>
    <t>JigsALL</t>
  </si>
  <si>
    <t>(Projection length X is calculated from the surface of the USB.)</t>
  </si>
  <si>
    <t>Leomatik</t>
  </si>
  <si>
    <t>XL</t>
  </si>
  <si>
    <t>Tool specification</t>
  </si>
  <si>
    <r>
      <t xml:space="preserve">Clamping </t>
    </r>
    <r>
      <rPr>
        <b/>
        <sz val="10"/>
        <color theme="1"/>
        <rFont val="Calibri"/>
        <family val="2"/>
        <charset val="238"/>
        <scheme val="minor"/>
      </rPr>
      <t>(Guard/Spine) [mm]</t>
    </r>
  </si>
  <si>
    <t>Empty machines</t>
  </si>
  <si>
    <t>Set machines</t>
  </si>
  <si>
    <t>H USB 50,9</t>
  </si>
  <si>
    <t>Convex</t>
  </si>
  <si>
    <t>Grind types</t>
  </si>
  <si>
    <t>Knives grind</t>
  </si>
  <si>
    <t>Single Bevel</t>
  </si>
  <si>
    <t>Symmetrical</t>
  </si>
  <si>
    <t>Tools grind</t>
  </si>
  <si>
    <t>Notes:</t>
  </si>
  <si>
    <t>Asymmetrical</t>
  </si>
  <si>
    <t>(see example)</t>
  </si>
  <si>
    <t>Yes, you can, but at first… Not all calculations in TormekCalc2 are made for symmetrical edges. In fact it depends on the jig setting , e.g. calculations for Square edge jig SE-77 are valid for chisel (single bevel) grind. You can find  info about the type of calculation in the Jigs sheet.</t>
  </si>
  <si>
    <t>However, it is true that the knife grinding jigs are normally set for symmetrical grind. It means that the axis passes through the tip of the edge (point G in the drawing in TormekCalc sheet), continues through the center of the blade and the jig to point J and beyond. When grinding an asymmetric edge, position of the point G will move up or down and you need to move point J by the same distance, to obtain new axis paralel with the old one. The easiest way is to change the Jig diameter M. This virtually moves the universal support bar (USB) by a value that depends od the specified Jig diameter M, simulating a different blade axis, without affecting the accuracy of the results. As you know, your goal is to find the right USB height for grinding.</t>
  </si>
  <si>
    <t>You have a knife with edge thickness 2 mm (edge thickness = thickness at edge heel) which is fitted and centered in the standard jig SVM-45. You want to grind single bevel edge so your real tip axis is 1 mm above the standard calculated axis and it means "deeper" grinding. Therefore change Jig diameter M to 14 mm and your USB height is reduced for 1 mm deeper grinding. I know, it looks strange at first glance, because it gives the impression that the knife will raise even higher, but in fact the diameter of the jig and grinding angle remain the same, and the calculation, thanks to this change, only virtually shifts the support down by the desired value. And why change to 14 mm? SVM-45 has diameter 12 mm by default, change to 14 mm moves the jig axis by 1 mm because it's diameter, not radius.</t>
  </si>
  <si>
    <t>SG, ST800, SJ, LA-Chromox</t>
  </si>
  <si>
    <t>001 ANV P200</t>
  </si>
  <si>
    <t>Grinded original angle through marker method.</t>
  </si>
  <si>
    <t>That's a good question, but you should ask the other side. The problem is that some applications use approximated values to calculate and do not take into account the actual edge, jig, and USB support axes. As a result, the value of the grinded angle differs more or less from the specified one. I found this in the past and it was one of the reasons why I started developing TormekCalc. From the very beginning TormekCalc is based on exact mathematical formulas that give accurate results in a defined grinding axis. The calculations are first verified by simulations in parametric 3D modeller and then by measurement of grinded edges. This does not mean that TormekCalc2 is completelly error-free, but the calculations and results are very thoroughly tested. However, this does not mean that you have to get accurate grinding results, as calculations may be affected by variations in measurement, adjustment and grinding. But if you don't get an exact result, at least you can find out exactly why. Finally, if you have any doubts about the calculated values, you can perform your own verification. TormekCalc2 does not contain hidden code, all formulas are clearly visible.</t>
  </si>
  <si>
    <r>
      <t xml:space="preserve">TormekCalc2 is compatible with </t>
    </r>
    <r>
      <rPr>
        <b/>
        <sz val="11"/>
        <color theme="1"/>
        <rFont val="Calibri"/>
        <family val="2"/>
        <charset val="238"/>
        <scheme val="minor"/>
      </rPr>
      <t>Microsoft Excel</t>
    </r>
    <r>
      <rPr>
        <sz val="11"/>
        <color theme="1"/>
        <rFont val="Calibri"/>
        <family val="2"/>
        <charset val="238"/>
        <scheme val="minor"/>
      </rPr>
      <t xml:space="preserve"> and was tested with versions Excel 2010, Excel 2013, Excel 2016 and Excel 365.
</t>
    </r>
    <r>
      <rPr>
        <sz val="10"/>
        <color theme="1"/>
        <rFont val="Calibri"/>
        <family val="2"/>
        <charset val="238"/>
        <scheme val="minor"/>
      </rPr>
      <t xml:space="preserve">Incompatibility was found in Excel for the web, Excel Mobile and Excel Starter due missing function CELL ("width"; [reference])) and this problem was solved by a workaround that has slightly limited functionality for these versions (offered are all wheels in drop-down lists, hidden ones aren't excluded).
</t>
    </r>
    <r>
      <rPr>
        <sz val="11"/>
        <color theme="1"/>
        <rFont val="Calibri"/>
        <family val="2"/>
        <charset val="238"/>
        <scheme val="minor"/>
      </rPr>
      <t xml:space="preserve">It is probably </t>
    </r>
    <r>
      <rPr>
        <b/>
        <sz val="11"/>
        <color theme="1"/>
        <rFont val="Calibri"/>
        <family val="2"/>
        <charset val="238"/>
        <scheme val="minor"/>
      </rPr>
      <t>not compatible</t>
    </r>
    <r>
      <rPr>
        <sz val="11"/>
        <color theme="1"/>
        <rFont val="Calibri"/>
        <family val="2"/>
        <charset val="238"/>
        <scheme val="minor"/>
      </rPr>
      <t xml:space="preserve"> with Google Sheets and other apps which don't support structured references. Unfortunately structured references are essencial in TormekCalc2 design.</t>
    </r>
    <r>
      <rPr>
        <sz val="10"/>
        <color theme="1"/>
        <rFont val="Calibri"/>
        <family val="2"/>
        <charset val="238"/>
        <scheme val="minor"/>
      </rPr>
      <t xml:space="preserve">
</t>
    </r>
  </si>
  <si>
    <t>Jernbolaget Eskilstuna</t>
  </si>
  <si>
    <t>Chisel 25</t>
  </si>
  <si>
    <t>Round Nose Scraper</t>
  </si>
  <si>
    <t>SG, SG+, LA</t>
  </si>
  <si>
    <t>Grinded on FVB, offset F = 75 mm.</t>
  </si>
  <si>
    <t>Uneven grinding from the factory, grinding angle corrected to 20 °.</t>
  </si>
  <si>
    <t>Tormek T-8</t>
  </si>
  <si>
    <t>Wheel XY</t>
  </si>
  <si>
    <r>
      <t xml:space="preserve">Calculations are valid for </t>
    </r>
    <r>
      <rPr>
        <b/>
        <sz val="10"/>
        <color theme="1"/>
        <rFont val="Calibri"/>
        <family val="2"/>
        <charset val="238"/>
        <scheme val="minor"/>
      </rPr>
      <t>symmetrical grind (double bevel)</t>
    </r>
    <r>
      <rPr>
        <sz val="10"/>
        <color theme="1"/>
        <rFont val="Calibri"/>
        <family val="2"/>
        <charset val="238"/>
        <scheme val="minor"/>
      </rPr>
      <t xml:space="preserve"> by default.</t>
    </r>
  </si>
  <si>
    <r>
      <t xml:space="preserve">Jig radius 30,6 mm, Jig diameter </t>
    </r>
    <r>
      <rPr>
        <i/>
        <sz val="10"/>
        <color theme="1"/>
        <rFont val="Calibri"/>
        <family val="2"/>
        <charset val="238"/>
        <scheme val="minor"/>
      </rPr>
      <t xml:space="preserve">M = 30,6*2-12 = </t>
    </r>
    <r>
      <rPr>
        <b/>
        <i/>
        <sz val="10"/>
        <color theme="1"/>
        <rFont val="Calibri"/>
        <family val="2"/>
        <charset val="238"/>
        <scheme val="minor"/>
      </rPr>
      <t>49,2 mm</t>
    </r>
    <r>
      <rPr>
        <i/>
        <sz val="10"/>
        <color theme="1"/>
        <rFont val="Calibri"/>
        <family val="2"/>
        <charset val="238"/>
        <scheme val="minor"/>
      </rPr>
      <t>.</t>
    </r>
  </si>
  <si>
    <r>
      <t xml:space="preserve">Projection length correction </t>
    </r>
    <r>
      <rPr>
        <i/>
        <sz val="10"/>
        <color theme="1"/>
        <rFont val="Calibri"/>
        <family val="2"/>
        <charset val="238"/>
        <scheme val="minor"/>
      </rPr>
      <t xml:space="preserve">X+ = 24,1+6 = </t>
    </r>
    <r>
      <rPr>
        <b/>
        <i/>
        <sz val="10"/>
        <color theme="1"/>
        <rFont val="Calibri"/>
        <family val="2"/>
        <charset val="238"/>
        <scheme val="minor"/>
      </rPr>
      <t>30,1 mm</t>
    </r>
    <r>
      <rPr>
        <sz val="10"/>
        <color theme="1"/>
        <rFont val="Calibri"/>
        <family val="2"/>
        <charset val="238"/>
        <scheme val="minor"/>
      </rPr>
      <t>.</t>
    </r>
  </si>
  <si>
    <r>
      <t xml:space="preserve">Calculations are valid for </t>
    </r>
    <r>
      <rPr>
        <b/>
        <sz val="10"/>
        <color theme="1"/>
        <rFont val="Calibri"/>
        <family val="2"/>
        <charset val="238"/>
        <scheme val="minor"/>
      </rPr>
      <t>chisel grind (single bevel)</t>
    </r>
    <r>
      <rPr>
        <sz val="10"/>
        <color theme="1"/>
        <rFont val="Calibri"/>
        <family val="2"/>
        <charset val="238"/>
        <scheme val="minor"/>
      </rPr>
      <t xml:space="preserve"> by default.</t>
    </r>
  </si>
  <si>
    <r>
      <t xml:space="preserve">Jig diameter </t>
    </r>
    <r>
      <rPr>
        <i/>
        <sz val="10"/>
        <color theme="1"/>
        <rFont val="Calibri"/>
        <family val="2"/>
        <charset val="238"/>
        <scheme val="minor"/>
      </rPr>
      <t xml:space="preserve">M = </t>
    </r>
    <r>
      <rPr>
        <b/>
        <i/>
        <sz val="10"/>
        <color theme="1"/>
        <rFont val="Calibri"/>
        <family val="2"/>
        <charset val="238"/>
        <scheme val="minor"/>
      </rPr>
      <t>21,7 mm</t>
    </r>
    <r>
      <rPr>
        <sz val="10"/>
        <color theme="1"/>
        <rFont val="Calibri"/>
        <family val="2"/>
        <charset val="238"/>
        <scheme val="minor"/>
      </rPr>
      <t>.</t>
    </r>
  </si>
  <si>
    <r>
      <t xml:space="preserve">Projection length correction </t>
    </r>
    <r>
      <rPr>
        <i/>
        <sz val="10"/>
        <color theme="1"/>
        <rFont val="Calibri"/>
        <family val="2"/>
        <charset val="238"/>
        <scheme val="minor"/>
      </rPr>
      <t xml:space="preserve">X+ = </t>
    </r>
    <r>
      <rPr>
        <b/>
        <i/>
        <sz val="10"/>
        <color theme="1"/>
        <rFont val="Calibri"/>
        <family val="2"/>
        <charset val="238"/>
        <scheme val="minor"/>
      </rPr>
      <t>0,0 mm</t>
    </r>
    <r>
      <rPr>
        <sz val="10"/>
        <color theme="1"/>
        <rFont val="Calibri"/>
        <family val="2"/>
        <charset val="238"/>
        <scheme val="minor"/>
      </rPr>
      <t>.</t>
    </r>
  </si>
  <si>
    <r>
      <t xml:space="preserve">Projection length correction </t>
    </r>
    <r>
      <rPr>
        <i/>
        <sz val="10"/>
        <color theme="1"/>
        <rFont val="Calibri"/>
        <family val="2"/>
        <charset val="238"/>
        <scheme val="minor"/>
      </rPr>
      <t xml:space="preserve">X+ = 15+6 = </t>
    </r>
    <r>
      <rPr>
        <b/>
        <i/>
        <sz val="10"/>
        <color theme="1"/>
        <rFont val="Calibri"/>
        <family val="2"/>
        <charset val="238"/>
        <scheme val="minor"/>
      </rPr>
      <t>21,0 mm</t>
    </r>
    <r>
      <rPr>
        <sz val="10"/>
        <color theme="1"/>
        <rFont val="Calibri"/>
        <family val="2"/>
        <charset val="238"/>
        <scheme val="minor"/>
      </rPr>
      <t>.</t>
    </r>
  </si>
  <si>
    <r>
      <t xml:space="preserve">You can if you want. Please send me a private message through the Tormek Community Forum for details.
Nick: </t>
    </r>
    <r>
      <rPr>
        <b/>
        <sz val="11"/>
        <color theme="1"/>
        <rFont val="Calibri"/>
        <family val="2"/>
        <charset val="238"/>
        <scheme val="minor"/>
      </rPr>
      <t xml:space="preserve">jvh
</t>
    </r>
    <r>
      <rPr>
        <sz val="11"/>
        <color theme="1"/>
        <rFont val="Calibri"/>
        <family val="2"/>
        <charset val="238"/>
        <scheme val="minor"/>
      </rPr>
      <t xml:space="preserve">Topic </t>
    </r>
    <r>
      <rPr>
        <b/>
        <sz val="11"/>
        <color theme="1"/>
        <rFont val="Calibri"/>
        <family val="2"/>
        <charset val="238"/>
        <scheme val="minor"/>
      </rPr>
      <t>TormekCalc2</t>
    </r>
    <r>
      <rPr>
        <sz val="11"/>
        <color theme="1"/>
        <rFont val="Calibri"/>
        <family val="2"/>
        <charset val="238"/>
        <scheme val="minor"/>
      </rPr>
      <t>:  https://www.tormek.com/forum/index.php?topic=4181.0
or 
Topic TormekCalc:     https://www.tormek.com/forum/index.php?topic=3919.0</t>
    </r>
  </si>
  <si>
    <t>Example (data in column "Machine 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</si>
</sst>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
    <numFmt numFmtId="166" formatCode="000"/>
    <numFmt numFmtId="167" formatCode="#,##0.000"/>
  </numFmts>
  <fonts count="31" x14ac:knownFonts="1">
    <font>
      <sz val="11"/>
      <color theme="1"/>
      <name val="Calibri"/>
      <family val="2"/>
      <charset val="238"/>
      <scheme val="minor"/>
    </font>
    <font>
      <b/>
      <sz val="11"/>
      <color theme="1"/>
      <name val="Calibri"/>
      <family val="2"/>
      <charset val="238"/>
      <scheme val="minor"/>
    </font>
    <font>
      <sz val="10"/>
      <color theme="1"/>
      <name val="Arial Unicode MS"/>
      <family val="2"/>
      <charset val="238"/>
    </font>
    <font>
      <b/>
      <sz val="11"/>
      <name val="Calibri"/>
      <family val="2"/>
      <charset val="238"/>
      <scheme val="minor"/>
    </font>
    <font>
      <sz val="9"/>
      <color theme="1"/>
      <name val="Calibri"/>
      <family val="2"/>
      <charset val="238"/>
      <scheme val="minor"/>
    </font>
    <font>
      <sz val="8"/>
      <color indexed="81"/>
      <name val="Tahoma"/>
      <family val="2"/>
      <charset val="238"/>
    </font>
    <font>
      <sz val="11"/>
      <color theme="0"/>
      <name val="Calibri"/>
      <family val="2"/>
      <charset val="238"/>
      <scheme val="minor"/>
    </font>
    <font>
      <b/>
      <sz val="8"/>
      <color indexed="81"/>
      <name val="Tahoma"/>
      <family val="2"/>
      <charset val="238"/>
    </font>
    <font>
      <sz val="11"/>
      <name val="Calibri"/>
      <family val="2"/>
      <charset val="238"/>
      <scheme val="minor"/>
    </font>
    <font>
      <sz val="8"/>
      <color theme="1"/>
      <name val="Calibri"/>
      <family val="2"/>
      <charset val="238"/>
      <scheme val="minor"/>
    </font>
    <font>
      <sz val="11"/>
      <color rgb="FF000000"/>
      <name val="Calibri"/>
      <family val="2"/>
      <charset val="238"/>
      <scheme val="minor"/>
    </font>
    <font>
      <b/>
      <sz val="11"/>
      <color rgb="FF000000"/>
      <name val="Calibri"/>
      <family val="2"/>
      <charset val="238"/>
      <scheme val="minor"/>
    </font>
    <font>
      <u/>
      <sz val="11"/>
      <color theme="10"/>
      <name val="Calibri"/>
      <family val="2"/>
      <charset val="238"/>
      <scheme val="minor"/>
    </font>
    <font>
      <sz val="7"/>
      <color indexed="81"/>
      <name val="Tahoma"/>
      <family val="2"/>
      <charset val="238"/>
    </font>
    <font>
      <sz val="11"/>
      <color theme="2" tint="-0.499984740745262"/>
      <name val="Calibri"/>
      <family val="2"/>
      <charset val="238"/>
      <scheme val="minor"/>
    </font>
    <font>
      <b/>
      <sz val="10"/>
      <color theme="1"/>
      <name val="Calibri"/>
      <family val="2"/>
      <charset val="238"/>
      <scheme val="minor"/>
    </font>
    <font>
      <sz val="11"/>
      <color rgb="FFFF0000"/>
      <name val="Calibri"/>
      <family val="2"/>
      <charset val="238"/>
      <scheme val="minor"/>
    </font>
    <font>
      <b/>
      <sz val="11"/>
      <color theme="1"/>
      <name val="Calibri"/>
      <family val="2"/>
      <charset val="238"/>
      <scheme val="minor"/>
    </font>
    <font>
      <sz val="11"/>
      <color rgb="FFFFC000"/>
      <name val="Calibri"/>
      <family val="2"/>
      <charset val="238"/>
      <scheme val="minor"/>
    </font>
    <font>
      <sz val="11"/>
      <color rgb="FF00B0F0"/>
      <name val="Calibri"/>
      <family val="2"/>
      <charset val="238"/>
      <scheme val="minor"/>
    </font>
    <font>
      <sz val="10"/>
      <color theme="1"/>
      <name val="Calibri"/>
      <family val="2"/>
      <charset val="238"/>
      <scheme val="minor"/>
    </font>
    <font>
      <sz val="10"/>
      <color rgb="FF00B050"/>
      <name val="Calibri"/>
      <family val="2"/>
      <charset val="238"/>
      <scheme val="minor"/>
    </font>
    <font>
      <sz val="10"/>
      <color rgb="FFC00000"/>
      <name val="Calibri"/>
      <family val="2"/>
      <charset val="238"/>
      <scheme val="minor"/>
    </font>
    <font>
      <sz val="10"/>
      <color rgb="FFCC9900"/>
      <name val="Calibri"/>
      <family val="2"/>
      <charset val="238"/>
      <scheme val="minor"/>
    </font>
    <font>
      <sz val="10"/>
      <name val="Calibri"/>
      <family val="2"/>
      <charset val="238"/>
      <scheme val="minor"/>
    </font>
    <font>
      <vertAlign val="superscript"/>
      <sz val="11"/>
      <color theme="1"/>
      <name val="Calibri"/>
      <family val="2"/>
      <charset val="238"/>
      <scheme val="minor"/>
    </font>
    <font>
      <b/>
      <sz val="12"/>
      <color theme="1"/>
      <name val="Calibri"/>
      <family val="2"/>
      <charset val="238"/>
      <scheme val="minor"/>
    </font>
    <font>
      <b/>
      <sz val="12"/>
      <color rgb="FF000000"/>
      <name val="Calibri"/>
      <family val="2"/>
      <charset val="238"/>
      <scheme val="minor"/>
    </font>
    <font>
      <b/>
      <vertAlign val="superscript"/>
      <sz val="12"/>
      <color rgb="FF000000"/>
      <name val="Calibri"/>
      <family val="2"/>
      <charset val="238"/>
      <scheme val="minor"/>
    </font>
    <font>
      <i/>
      <sz val="10"/>
      <color theme="1"/>
      <name val="Calibri"/>
      <family val="2"/>
      <charset val="238"/>
      <scheme val="minor"/>
    </font>
    <font>
      <b/>
      <i/>
      <sz val="10"/>
      <color theme="1"/>
      <name val="Calibri"/>
      <family val="2"/>
      <charset val="238"/>
      <scheme val="minor"/>
    </font>
  </fonts>
  <fills count="21">
    <fill>
      <patternFill patternType="none"/>
    </fill>
    <fill>
      <patternFill patternType="gray125"/>
    </fill>
    <fill>
      <patternFill patternType="solid">
        <fgColor theme="6"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E8EEF8"/>
        <bgColor indexed="64"/>
      </patternFill>
    </fill>
    <fill>
      <patternFill patternType="solid">
        <fgColor rgb="FFFFF6D9"/>
        <bgColor indexed="64"/>
      </patternFill>
    </fill>
    <fill>
      <patternFill patternType="solid">
        <fgColor rgb="FFFCEBE0"/>
        <bgColor indexed="64"/>
      </patternFill>
    </fill>
    <fill>
      <patternFill patternType="solid">
        <fgColor rgb="FFFFFF82"/>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FFB4"/>
        <bgColor indexed="64"/>
      </patternFill>
    </fill>
    <fill>
      <patternFill patternType="solid">
        <fgColor theme="6" tint="0.79998168889431442"/>
        <bgColor theme="6" tint="0.79998168889431442"/>
      </patternFill>
    </fill>
    <fill>
      <patternFill patternType="solid">
        <fgColor theme="7" tint="0.59999389629810485"/>
        <bgColor indexed="64"/>
      </patternFill>
    </fill>
  </fills>
  <borders count="52">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right style="thin">
        <color indexed="64"/>
      </right>
      <top/>
      <bottom style="thin">
        <color indexed="64"/>
      </bottom>
      <diagonal/>
    </border>
    <border>
      <left style="thin">
        <color theme="6"/>
      </left>
      <right style="thin">
        <color theme="6"/>
      </right>
      <top style="thin">
        <color theme="6"/>
      </top>
      <bottom style="thin">
        <color theme="6"/>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6"/>
      </left>
      <right/>
      <top style="thin">
        <color theme="6"/>
      </top>
      <bottom/>
      <diagonal/>
    </border>
    <border>
      <left style="thin">
        <color theme="6"/>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
      <left style="thin">
        <color theme="6"/>
      </left>
      <right style="thin">
        <color theme="6"/>
      </right>
      <top style="thin">
        <color theme="6"/>
      </top>
      <bottom style="thin">
        <color theme="0" tint="-0.34998626667073579"/>
      </bottom>
      <diagonal/>
    </border>
    <border>
      <left style="thin">
        <color indexed="64"/>
      </left>
      <right style="thin">
        <color indexed="64"/>
      </right>
      <top style="thin">
        <color indexed="64"/>
      </top>
      <bottom/>
      <diagonal/>
    </border>
    <border>
      <left/>
      <right/>
      <top/>
      <bottom style="thin">
        <color theme="6"/>
      </bottom>
      <diagonal/>
    </border>
    <border>
      <left style="thin">
        <color theme="6"/>
      </left>
      <right style="thin">
        <color rgb="FFBFBFBF"/>
      </right>
      <top style="thin">
        <color theme="6"/>
      </top>
      <bottom/>
      <diagonal/>
    </border>
    <border>
      <left style="thin">
        <color rgb="FFBFBFBF"/>
      </left>
      <right style="thin">
        <color rgb="FFBFBFBF"/>
      </right>
      <top style="thin">
        <color theme="6"/>
      </top>
      <bottom/>
      <diagonal/>
    </border>
    <border>
      <left style="thin">
        <color rgb="FFBFBFBF"/>
      </left>
      <right style="thin">
        <color theme="6"/>
      </right>
      <top style="thin">
        <color theme="6"/>
      </top>
      <bottom/>
      <diagonal/>
    </border>
    <border>
      <left style="thin">
        <color theme="6"/>
      </left>
      <right style="thin">
        <color rgb="FFBFBFBF"/>
      </right>
      <top/>
      <bottom/>
      <diagonal/>
    </border>
    <border>
      <left style="thin">
        <color rgb="FFBFBFBF"/>
      </left>
      <right style="thin">
        <color rgb="FFBFBFBF"/>
      </right>
      <top/>
      <bottom/>
      <diagonal/>
    </border>
    <border>
      <left style="thin">
        <color rgb="FFBFBFBF"/>
      </left>
      <right style="thin">
        <color theme="6"/>
      </right>
      <top/>
      <bottom/>
      <diagonal/>
    </border>
    <border>
      <left style="thin">
        <color theme="6"/>
      </left>
      <right style="thin">
        <color rgb="FFBFBFBF"/>
      </right>
      <top/>
      <bottom style="thin">
        <color indexed="64"/>
      </bottom>
      <diagonal/>
    </border>
    <border>
      <left style="thin">
        <color rgb="FFBFBFBF"/>
      </left>
      <right style="thin">
        <color rgb="FFBFBFBF"/>
      </right>
      <top/>
      <bottom style="thin">
        <color indexed="64"/>
      </bottom>
      <diagonal/>
    </border>
    <border>
      <left style="thin">
        <color rgb="FFBFBFBF"/>
      </left>
      <right style="thin">
        <color theme="6"/>
      </right>
      <top/>
      <bottom style="thin">
        <color indexed="64"/>
      </bottom>
      <diagonal/>
    </border>
    <border>
      <left style="thin">
        <color rgb="FFBFBFBF"/>
      </left>
      <right style="thin">
        <color rgb="FFBFBFBF"/>
      </right>
      <top style="thin">
        <color indexed="64"/>
      </top>
      <bottom/>
      <diagonal/>
    </border>
    <border>
      <left style="thin">
        <color theme="6"/>
      </left>
      <right style="thin">
        <color rgb="FFBFBFBF"/>
      </right>
      <top/>
      <bottom style="thin">
        <color theme="6"/>
      </bottom>
      <diagonal/>
    </border>
    <border>
      <left style="thin">
        <color rgb="FFBFBFBF"/>
      </left>
      <right style="thin">
        <color rgb="FFBFBFBF"/>
      </right>
      <top/>
      <bottom style="thin">
        <color theme="6"/>
      </bottom>
      <diagonal/>
    </border>
    <border>
      <left style="thin">
        <color rgb="FFBFBFBF"/>
      </left>
      <right style="thin">
        <color theme="6"/>
      </right>
      <top/>
      <bottom style="thin">
        <color theme="6"/>
      </bottom>
      <diagonal/>
    </border>
    <border>
      <left style="thin">
        <color theme="6"/>
      </left>
      <right/>
      <top/>
      <bottom style="thin">
        <color theme="6"/>
      </bottom>
      <diagonal/>
    </border>
    <border>
      <left/>
      <right style="thin">
        <color theme="6"/>
      </right>
      <top/>
      <bottom style="thin">
        <color theme="6"/>
      </bottom>
      <diagonal/>
    </border>
    <border>
      <left/>
      <right style="thin">
        <color theme="6"/>
      </right>
      <top style="thin">
        <color theme="6"/>
      </top>
      <bottom/>
      <diagonal/>
    </border>
    <border>
      <left style="thin">
        <color theme="6"/>
      </left>
      <right style="thin">
        <color theme="6"/>
      </right>
      <top style="thin">
        <color theme="6"/>
      </top>
      <bottom/>
      <diagonal/>
    </border>
    <border>
      <left style="thin">
        <color theme="6"/>
      </left>
      <right style="thin">
        <color theme="6"/>
      </right>
      <top/>
      <bottom style="thin">
        <color theme="6"/>
      </bottom>
      <diagonal/>
    </border>
    <border>
      <left style="thin">
        <color theme="6"/>
      </left>
      <right style="thin">
        <color theme="6"/>
      </right>
      <top style="thin">
        <color theme="9"/>
      </top>
      <bottom style="thin">
        <color theme="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9"/>
      </top>
      <bottom style="thin">
        <color theme="9"/>
      </bottom>
      <diagonal/>
    </border>
    <border>
      <left style="thin">
        <color theme="6"/>
      </left>
      <right style="thin">
        <color theme="6"/>
      </right>
      <top/>
      <bottom style="thin">
        <color theme="0" tint="-0.34998626667073579"/>
      </bottom>
      <diagonal/>
    </border>
    <border>
      <left style="thin">
        <color theme="6"/>
      </left>
      <right style="thin">
        <color theme="6"/>
      </right>
      <top/>
      <bottom/>
      <diagonal/>
    </border>
    <border>
      <left style="thin">
        <color theme="6"/>
      </left>
      <right/>
      <top style="thin">
        <color theme="9" tint="0.39994506668294322"/>
      </top>
      <bottom style="thin">
        <color theme="9" tint="0.39994506668294322"/>
      </bottom>
      <diagonal/>
    </border>
    <border>
      <left/>
      <right style="thin">
        <color theme="6"/>
      </right>
      <top style="thin">
        <color theme="9" tint="0.39994506668294322"/>
      </top>
      <bottom style="thin">
        <color theme="9" tint="0.39994506668294322"/>
      </bottom>
      <diagonal/>
    </border>
    <border>
      <left/>
      <right/>
      <top/>
      <bottom style="thin">
        <color theme="9" tint="0.39994506668294322"/>
      </bottom>
      <diagonal/>
    </border>
    <border>
      <left/>
      <right style="thin">
        <color theme="6"/>
      </right>
      <top/>
      <bottom/>
      <diagonal/>
    </border>
    <border>
      <left/>
      <right/>
      <top style="thin">
        <color theme="6"/>
      </top>
      <bottom/>
      <diagonal/>
    </border>
  </borders>
  <cellStyleXfs count="2">
    <xf numFmtId="0" fontId="0" fillId="0" borderId="0"/>
    <xf numFmtId="0" fontId="12" fillId="0" borderId="0" applyNumberFormat="0" applyFill="0" applyBorder="0" applyAlignment="0" applyProtection="0"/>
  </cellStyleXfs>
  <cellXfs count="303">
    <xf numFmtId="0" fontId="0" fillId="0" borderId="0" xfId="0"/>
    <xf numFmtId="164" fontId="1" fillId="3" borderId="9" xfId="0" applyNumberFormat="1" applyFont="1" applyFill="1" applyBorder="1" applyAlignment="1" applyProtection="1">
      <alignment horizontal="right" indent="1"/>
      <protection locked="0"/>
    </xf>
    <xf numFmtId="164" fontId="0" fillId="2" borderId="9" xfId="0" applyNumberFormat="1" applyFill="1" applyBorder="1" applyAlignment="1" applyProtection="1">
      <alignment horizontal="right" indent="1"/>
      <protection locked="0"/>
    </xf>
    <xf numFmtId="2" fontId="1" fillId="3" borderId="9" xfId="0" applyNumberFormat="1" applyFont="1" applyFill="1" applyBorder="1" applyAlignment="1" applyProtection="1">
      <alignment horizontal="right" indent="1"/>
      <protection locked="0"/>
    </xf>
    <xf numFmtId="164" fontId="1" fillId="3" borderId="0" xfId="0" applyNumberFormat="1" applyFont="1" applyFill="1" applyAlignment="1" applyProtection="1">
      <alignment horizontal="center"/>
      <protection locked="0"/>
    </xf>
    <xf numFmtId="0" fontId="0" fillId="0" borderId="0" xfId="0" applyProtection="1"/>
    <xf numFmtId="0" fontId="0" fillId="0" borderId="0" xfId="0" quotePrefix="1" applyProtection="1"/>
    <xf numFmtId="0" fontId="1" fillId="0" borderId="0" xfId="0" applyFont="1" applyProtection="1"/>
    <xf numFmtId="0" fontId="0" fillId="0" borderId="9" xfId="0" applyBorder="1" applyProtection="1"/>
    <xf numFmtId="0" fontId="4" fillId="0" borderId="9" xfId="0" applyFont="1" applyBorder="1" applyProtection="1"/>
    <xf numFmtId="1" fontId="1" fillId="0" borderId="9" xfId="0" applyNumberFormat="1" applyFont="1" applyBorder="1" applyProtection="1"/>
    <xf numFmtId="164" fontId="1" fillId="4" borderId="0" xfId="0" applyNumberFormat="1" applyFont="1" applyFill="1" applyProtection="1"/>
    <xf numFmtId="164" fontId="0" fillId="0" borderId="9" xfId="0" applyNumberFormat="1" applyFont="1" applyBorder="1" applyAlignment="1" applyProtection="1">
      <alignment horizontal="right" indent="1"/>
    </xf>
    <xf numFmtId="164" fontId="0" fillId="0" borderId="0" xfId="0" applyNumberFormat="1" applyProtection="1"/>
    <xf numFmtId="0" fontId="6" fillId="0" borderId="10" xfId="0" applyFont="1" applyBorder="1" applyProtection="1"/>
    <xf numFmtId="164" fontId="1" fillId="0" borderId="9" xfId="0" applyNumberFormat="1" applyFont="1" applyBorder="1" applyProtection="1"/>
    <xf numFmtId="1" fontId="0" fillId="0" borderId="0" xfId="0" applyNumberFormat="1" applyProtection="1"/>
    <xf numFmtId="0" fontId="6" fillId="0" borderId="11" xfId="0" applyFont="1" applyBorder="1" applyProtection="1"/>
    <xf numFmtId="164" fontId="6" fillId="0" borderId="11" xfId="0" applyNumberFormat="1" applyFont="1" applyBorder="1" applyProtection="1"/>
    <xf numFmtId="0" fontId="6" fillId="0" borderId="12" xfId="0" applyFont="1" applyBorder="1" applyProtection="1"/>
    <xf numFmtId="0" fontId="6" fillId="0" borderId="12" xfId="0" applyFont="1" applyBorder="1" applyAlignment="1" applyProtection="1">
      <alignment horizontal="center"/>
    </xf>
    <xf numFmtId="2" fontId="0" fillId="0" borderId="9" xfId="0" applyNumberFormat="1" applyFont="1" applyBorder="1" applyAlignment="1" applyProtection="1">
      <alignment horizontal="right" indent="1"/>
    </xf>
    <xf numFmtId="164" fontId="0" fillId="0" borderId="9" xfId="0" applyNumberFormat="1" applyFill="1" applyBorder="1" applyAlignment="1" applyProtection="1">
      <alignment horizontal="right" indent="1"/>
    </xf>
    <xf numFmtId="0" fontId="0" fillId="0" borderId="0" xfId="0" applyAlignment="1" applyProtection="1">
      <alignment horizontal="center"/>
    </xf>
    <xf numFmtId="164" fontId="0" fillId="0" borderId="9" xfId="0" applyNumberFormat="1" applyFont="1" applyBorder="1" applyProtection="1"/>
    <xf numFmtId="164" fontId="1" fillId="0" borderId="0" xfId="0" applyNumberFormat="1" applyFont="1" applyProtection="1"/>
    <xf numFmtId="164" fontId="0" fillId="0" borderId="9" xfId="0" applyNumberFormat="1" applyBorder="1" applyAlignment="1" applyProtection="1"/>
    <xf numFmtId="164" fontId="0" fillId="0" borderId="0" xfId="0" applyNumberFormat="1" applyFill="1" applyProtection="1"/>
    <xf numFmtId="0" fontId="0" fillId="0" borderId="0" xfId="0" applyFill="1" applyProtection="1"/>
    <xf numFmtId="164" fontId="1" fillId="8" borderId="0" xfId="0" applyNumberFormat="1" applyFont="1" applyFill="1" applyProtection="1"/>
    <xf numFmtId="2" fontId="0" fillId="8" borderId="0" xfId="0" applyNumberFormat="1" applyFill="1" applyAlignment="1" applyProtection="1">
      <alignment horizontal="center"/>
    </xf>
    <xf numFmtId="0" fontId="1" fillId="0" borderId="0" xfId="0" applyFont="1" applyFill="1" applyProtection="1"/>
    <xf numFmtId="164" fontId="1" fillId="5" borderId="0" xfId="0" applyNumberFormat="1" applyFont="1" applyFill="1" applyProtection="1"/>
    <xf numFmtId="2" fontId="0" fillId="5" borderId="0" xfId="0" applyNumberFormat="1" applyFill="1" applyAlignment="1" applyProtection="1">
      <alignment horizontal="center"/>
    </xf>
    <xf numFmtId="164" fontId="0" fillId="0" borderId="9" xfId="0" applyNumberFormat="1" applyFont="1" applyBorder="1" applyAlignment="1" applyProtection="1"/>
    <xf numFmtId="164" fontId="1" fillId="6" borderId="0" xfId="0" applyNumberFormat="1" applyFont="1" applyFill="1" applyProtection="1"/>
    <xf numFmtId="2" fontId="0" fillId="6" borderId="0" xfId="0" applyNumberFormat="1" applyFill="1" applyAlignment="1" applyProtection="1">
      <alignment horizontal="center"/>
    </xf>
    <xf numFmtId="2" fontId="0" fillId="0" borderId="9" xfId="0" applyNumberFormat="1" applyBorder="1" applyAlignment="1" applyProtection="1">
      <alignment horizontal="right" indent="1"/>
    </xf>
    <xf numFmtId="164" fontId="1" fillId="7" borderId="0" xfId="0" applyNumberFormat="1" applyFont="1" applyFill="1" applyProtection="1"/>
    <xf numFmtId="2" fontId="0" fillId="7" borderId="0" xfId="0" applyNumberFormat="1" applyFill="1" applyAlignment="1" applyProtection="1">
      <alignment horizontal="center"/>
    </xf>
    <xf numFmtId="164" fontId="0" fillId="0" borderId="9" xfId="0" applyNumberFormat="1" applyBorder="1" applyProtection="1"/>
    <xf numFmtId="0" fontId="2" fillId="0" borderId="0" xfId="0" applyFont="1" applyAlignment="1" applyProtection="1">
      <alignment vertical="center"/>
    </xf>
    <xf numFmtId="2" fontId="0" fillId="0" borderId="0" xfId="0" applyNumberFormat="1" applyProtection="1"/>
    <xf numFmtId="164" fontId="0" fillId="0" borderId="0" xfId="0" quotePrefix="1" applyNumberFormat="1" applyProtection="1"/>
    <xf numFmtId="0" fontId="0" fillId="0" borderId="0" xfId="0" applyAlignment="1" applyProtection="1">
      <alignment horizontal="center"/>
      <protection locked="0"/>
    </xf>
    <xf numFmtId="0" fontId="1" fillId="4" borderId="0" xfId="0" applyFont="1" applyFill="1" applyProtection="1">
      <protection locked="0"/>
    </xf>
    <xf numFmtId="0" fontId="0" fillId="0" borderId="0" xfId="0" applyProtection="1">
      <protection locked="0"/>
    </xf>
    <xf numFmtId="164" fontId="0" fillId="0" borderId="0" xfId="0" applyNumberFormat="1" applyAlignment="1" applyProtection="1">
      <alignment horizontal="center"/>
      <protection locked="0"/>
    </xf>
    <xf numFmtId="0" fontId="0" fillId="0" borderId="0" xfId="0" applyBorder="1" applyProtection="1">
      <protection locked="0"/>
    </xf>
    <xf numFmtId="164" fontId="0" fillId="0" borderId="0" xfId="0" applyNumberFormat="1" applyBorder="1" applyAlignment="1" applyProtection="1">
      <alignment horizontal="center"/>
      <protection locked="0"/>
    </xf>
    <xf numFmtId="0" fontId="0" fillId="0" borderId="0" xfId="0" applyBorder="1" applyAlignment="1" applyProtection="1">
      <alignment horizontal="center"/>
      <protection locked="0"/>
    </xf>
    <xf numFmtId="164" fontId="1" fillId="0" borderId="9" xfId="0" applyNumberFormat="1" applyFont="1" applyFill="1" applyBorder="1" applyAlignment="1" applyProtection="1">
      <alignment horizontal="right" indent="1"/>
    </xf>
    <xf numFmtId="1" fontId="1" fillId="8" borderId="9" xfId="0" applyNumberFormat="1" applyFont="1" applyFill="1" applyBorder="1" applyProtection="1"/>
    <xf numFmtId="1" fontId="4" fillId="0" borderId="9" xfId="0" applyNumberFormat="1" applyFont="1" applyBorder="1" applyAlignment="1" applyProtection="1"/>
    <xf numFmtId="1" fontId="1" fillId="5" borderId="9" xfId="0" applyNumberFormat="1" applyFont="1" applyFill="1" applyBorder="1" applyProtection="1"/>
    <xf numFmtId="1" fontId="1" fillId="6" borderId="9" xfId="0" applyNumberFormat="1" applyFont="1" applyFill="1" applyBorder="1" applyProtection="1"/>
    <xf numFmtId="1" fontId="1" fillId="7" borderId="9" xfId="0" applyNumberFormat="1" applyFont="1" applyFill="1" applyBorder="1" applyProtection="1"/>
    <xf numFmtId="164" fontId="1" fillId="7" borderId="9" xfId="0" applyNumberFormat="1" applyFont="1" applyFill="1" applyBorder="1" applyProtection="1"/>
    <xf numFmtId="164" fontId="0" fillId="0" borderId="9" xfId="0" applyNumberFormat="1" applyBorder="1" applyAlignment="1" applyProtection="1">
      <alignment vertical="center"/>
    </xf>
    <xf numFmtId="164" fontId="0" fillId="0" borderId="0" xfId="0" applyNumberFormat="1" applyAlignment="1" applyProtection="1">
      <alignment vertical="center"/>
    </xf>
    <xf numFmtId="0" fontId="0" fillId="0" borderId="0" xfId="0" applyAlignment="1" applyProtection="1">
      <alignment vertical="center"/>
    </xf>
    <xf numFmtId="164" fontId="0" fillId="0" borderId="13" xfId="0" applyNumberFormat="1" applyFill="1" applyBorder="1" applyAlignment="1" applyProtection="1">
      <alignment horizontal="right" indent="1"/>
    </xf>
    <xf numFmtId="164" fontId="0" fillId="0" borderId="9" xfId="0" applyNumberFormat="1" applyBorder="1" applyAlignment="1" applyProtection="1">
      <alignment horizontal="right" indent="1"/>
    </xf>
    <xf numFmtId="2" fontId="0" fillId="0" borderId="14" xfId="0" applyNumberFormat="1" applyBorder="1" applyAlignment="1" applyProtection="1">
      <alignment horizontal="right" indent="1"/>
    </xf>
    <xf numFmtId="1" fontId="0" fillId="0" borderId="9" xfId="0" applyNumberFormat="1" applyFont="1" applyBorder="1" applyProtection="1"/>
    <xf numFmtId="164" fontId="0" fillId="0" borderId="0" xfId="0" applyNumberFormat="1" applyBorder="1" applyProtection="1"/>
    <xf numFmtId="0" fontId="0" fillId="0" borderId="0" xfId="0" applyBorder="1" applyProtection="1"/>
    <xf numFmtId="1" fontId="0" fillId="0" borderId="9" xfId="0" applyNumberFormat="1" applyFont="1" applyBorder="1" applyAlignment="1" applyProtection="1">
      <alignment horizontal="right" indent="1"/>
    </xf>
    <xf numFmtId="165" fontId="0" fillId="0" borderId="14" xfId="0" applyNumberFormat="1" applyFill="1" applyBorder="1" applyAlignment="1" applyProtection="1">
      <alignment horizontal="right" indent="1"/>
    </xf>
    <xf numFmtId="164" fontId="3" fillId="5" borderId="9" xfId="0" applyNumberFormat="1" applyFont="1" applyFill="1" applyBorder="1" applyProtection="1"/>
    <xf numFmtId="2" fontId="3" fillId="5" borderId="9" xfId="0" applyNumberFormat="1" applyFont="1" applyFill="1" applyBorder="1" applyAlignment="1" applyProtection="1">
      <alignment horizontal="right" indent="1"/>
    </xf>
    <xf numFmtId="2" fontId="3" fillId="0" borderId="14" xfId="0" applyNumberFormat="1" applyFont="1" applyFill="1" applyBorder="1" applyAlignment="1" applyProtection="1">
      <alignment horizontal="right" indent="1"/>
    </xf>
    <xf numFmtId="164" fontId="3" fillId="6" borderId="9" xfId="0" applyNumberFormat="1" applyFont="1" applyFill="1" applyBorder="1" applyProtection="1"/>
    <xf numFmtId="2" fontId="3" fillId="6" borderId="9" xfId="0" applyNumberFormat="1" applyFont="1" applyFill="1" applyBorder="1" applyAlignment="1" applyProtection="1">
      <alignment horizontal="right" indent="1"/>
    </xf>
    <xf numFmtId="164" fontId="3" fillId="7" borderId="9" xfId="0" applyNumberFormat="1" applyFont="1" applyFill="1" applyBorder="1" applyProtection="1"/>
    <xf numFmtId="2" fontId="3" fillId="7" borderId="9" xfId="0" applyNumberFormat="1" applyFont="1" applyFill="1" applyBorder="1" applyAlignment="1" applyProtection="1">
      <alignment horizontal="right" indent="1"/>
    </xf>
    <xf numFmtId="0" fontId="8" fillId="0" borderId="0" xfId="0" applyFont="1" applyFill="1" applyProtection="1"/>
    <xf numFmtId="0" fontId="0" fillId="0" borderId="4" xfId="0" applyFont="1" applyBorder="1" applyAlignment="1" applyProtection="1">
      <alignment horizontal="left"/>
    </xf>
    <xf numFmtId="0" fontId="0" fillId="0" borderId="0" xfId="0" applyAlignment="1" applyProtection="1">
      <alignment horizontal="left"/>
      <protection locked="0"/>
    </xf>
    <xf numFmtId="0" fontId="0" fillId="0" borderId="0" xfId="0" applyBorder="1" applyAlignment="1" applyProtection="1">
      <alignment horizontal="left"/>
      <protection locked="0"/>
    </xf>
    <xf numFmtId="166" fontId="0" fillId="0" borderId="0" xfId="0" applyNumberFormat="1" applyAlignment="1" applyProtection="1">
      <alignment horizontal="right" indent="1"/>
    </xf>
    <xf numFmtId="0" fontId="0" fillId="0" borderId="0" xfId="0" applyAlignment="1" applyProtection="1">
      <alignment horizontal="left"/>
    </xf>
    <xf numFmtId="0" fontId="1" fillId="0" borderId="5" xfId="0" applyFont="1" applyBorder="1" applyProtection="1"/>
    <xf numFmtId="0" fontId="0" fillId="0" borderId="3" xfId="0" applyBorder="1" applyProtection="1"/>
    <xf numFmtId="0" fontId="0" fillId="0" borderId="1" xfId="0" applyFont="1" applyBorder="1" applyAlignment="1" applyProtection="1">
      <alignment horizontal="left"/>
    </xf>
    <xf numFmtId="0" fontId="0" fillId="0" borderId="1" xfId="0" applyBorder="1" applyAlignment="1" applyProtection="1">
      <alignment horizontal="left"/>
    </xf>
    <xf numFmtId="0" fontId="0" fillId="0" borderId="1" xfId="0" applyBorder="1" applyProtection="1"/>
    <xf numFmtId="0" fontId="0" fillId="0" borderId="1" xfId="0" applyFill="1" applyBorder="1" applyAlignment="1" applyProtection="1">
      <alignment horizontal="left"/>
    </xf>
    <xf numFmtId="49" fontId="0" fillId="0" borderId="0" xfId="0" quotePrefix="1" applyNumberFormat="1" applyAlignment="1" applyProtection="1">
      <alignment horizontal="left"/>
      <protection locked="0"/>
    </xf>
    <xf numFmtId="49" fontId="0" fillId="0" borderId="0" xfId="0" applyNumberFormat="1" applyAlignment="1" applyProtection="1">
      <alignment horizontal="left"/>
      <protection locked="0"/>
    </xf>
    <xf numFmtId="164" fontId="12" fillId="0" borderId="0" xfId="1" applyNumberFormat="1" applyProtection="1"/>
    <xf numFmtId="164" fontId="12" fillId="0" borderId="0" xfId="1" quotePrefix="1" applyNumberFormat="1" applyBorder="1" applyProtection="1"/>
    <xf numFmtId="0" fontId="1" fillId="0" borderId="9" xfId="0" applyFont="1" applyFill="1" applyBorder="1" applyProtection="1"/>
    <xf numFmtId="0" fontId="0" fillId="0" borderId="0" xfId="0" applyFont="1" applyProtection="1"/>
    <xf numFmtId="164" fontId="0" fillId="0" borderId="0" xfId="0" applyNumberFormat="1" applyAlignment="1" applyProtection="1">
      <alignment horizontal="right" indent="1"/>
    </xf>
    <xf numFmtId="164" fontId="14" fillId="0" borderId="9" xfId="0" applyNumberFormat="1" applyFont="1" applyBorder="1" applyAlignment="1" applyProtection="1">
      <alignment horizontal="right" indent="1"/>
    </xf>
    <xf numFmtId="164" fontId="14" fillId="0" borderId="9" xfId="0" applyNumberFormat="1" applyFont="1" applyBorder="1" applyProtection="1"/>
    <xf numFmtId="0" fontId="14" fillId="0" borderId="9" xfId="0" applyFont="1" applyBorder="1" applyProtection="1"/>
    <xf numFmtId="0" fontId="0" fillId="0" borderId="5" xfId="0" applyBorder="1" applyProtection="1"/>
    <xf numFmtId="2" fontId="1" fillId="3" borderId="15" xfId="0" applyNumberFormat="1" applyFont="1" applyFill="1" applyBorder="1" applyAlignment="1" applyProtection="1">
      <alignment horizontal="right" indent="1"/>
      <protection locked="0"/>
    </xf>
    <xf numFmtId="1" fontId="1" fillId="9" borderId="9" xfId="0" applyNumberFormat="1" applyFont="1" applyFill="1" applyBorder="1" applyProtection="1"/>
    <xf numFmtId="164" fontId="0" fillId="9" borderId="9" xfId="0" applyNumberFormat="1" applyFont="1" applyFill="1" applyBorder="1" applyAlignment="1" applyProtection="1">
      <alignment horizontal="right" indent="1"/>
    </xf>
    <xf numFmtId="164" fontId="1" fillId="9" borderId="9" xfId="0" applyNumberFormat="1" applyFont="1" applyFill="1" applyBorder="1" applyProtection="1"/>
    <xf numFmtId="0" fontId="0" fillId="0" borderId="1" xfId="0" applyBorder="1" applyAlignment="1" applyProtection="1">
      <alignment horizontal="left" indent="1"/>
    </xf>
    <xf numFmtId="164" fontId="17" fillId="0" borderId="0" xfId="0" applyNumberFormat="1" applyFont="1" applyFill="1" applyProtection="1"/>
    <xf numFmtId="0" fontId="0" fillId="0" borderId="0" xfId="0" applyNumberFormat="1" applyFill="1" applyAlignment="1" applyProtection="1">
      <alignment horizontal="center"/>
    </xf>
    <xf numFmtId="0" fontId="16" fillId="0" borderId="0" xfId="0" applyFont="1" applyProtection="1"/>
    <xf numFmtId="0" fontId="18" fillId="0" borderId="0" xfId="0" applyFont="1" applyProtection="1"/>
    <xf numFmtId="0" fontId="19" fillId="0" borderId="0" xfId="0" applyFont="1" applyProtection="1"/>
    <xf numFmtId="164" fontId="0" fillId="0" borderId="0" xfId="0" applyNumberFormat="1" applyFill="1" applyAlignment="1" applyProtection="1">
      <alignment horizontal="right" indent="1"/>
    </xf>
    <xf numFmtId="164" fontId="1" fillId="15" borderId="0" xfId="0" applyNumberFormat="1" applyFont="1" applyFill="1" applyProtection="1"/>
    <xf numFmtId="0" fontId="0" fillId="0" borderId="0" xfId="0" applyNumberFormat="1" applyAlignment="1" applyProtection="1">
      <alignment horizontal="center"/>
      <protection locked="0"/>
    </xf>
    <xf numFmtId="0" fontId="0" fillId="0" borderId="0" xfId="0" applyNumberFormat="1" applyBorder="1" applyAlignment="1" applyProtection="1">
      <alignment horizontal="center"/>
      <protection locked="0"/>
    </xf>
    <xf numFmtId="164" fontId="1" fillId="0" borderId="0" xfId="0" applyNumberFormat="1" applyFont="1" applyFill="1" applyBorder="1" applyAlignment="1" applyProtection="1"/>
    <xf numFmtId="0" fontId="0" fillId="0" borderId="0" xfId="0" applyAlignment="1" applyProtection="1">
      <alignment shrinkToFit="1"/>
    </xf>
    <xf numFmtId="164" fontId="0" fillId="0" borderId="9" xfId="0" applyNumberFormat="1" applyFill="1" applyBorder="1" applyAlignment="1" applyProtection="1"/>
    <xf numFmtId="164" fontId="0" fillId="0" borderId="0" xfId="0" applyNumberFormat="1" applyFill="1" applyBorder="1" applyAlignment="1" applyProtection="1">
      <alignment horizontal="left"/>
    </xf>
    <xf numFmtId="0" fontId="0" fillId="0" borderId="9" xfId="0" applyFont="1" applyBorder="1" applyAlignment="1" applyProtection="1">
      <alignment vertical="center"/>
    </xf>
    <xf numFmtId="0" fontId="0" fillId="0" borderId="9" xfId="0" applyFont="1" applyFill="1" applyBorder="1" applyAlignment="1" applyProtection="1">
      <alignment vertical="center"/>
    </xf>
    <xf numFmtId="0" fontId="0" fillId="0" borderId="9" xfId="0" applyFont="1" applyBorder="1" applyAlignment="1" applyProtection="1">
      <alignment horizontal="right" indent="1"/>
    </xf>
    <xf numFmtId="0" fontId="0" fillId="0" borderId="9" xfId="0" applyFont="1" applyBorder="1" applyProtection="1"/>
    <xf numFmtId="0" fontId="0" fillId="0" borderId="0" xfId="0" applyAlignment="1">
      <alignment vertical="top"/>
    </xf>
    <xf numFmtId="0" fontId="0" fillId="0" borderId="0" xfId="0" applyFill="1" applyAlignment="1">
      <alignment vertical="top"/>
    </xf>
    <xf numFmtId="164" fontId="1" fillId="0" borderId="0" xfId="0" applyNumberFormat="1" applyFont="1" applyFill="1" applyBorder="1" applyAlignment="1" applyProtection="1">
      <alignment vertical="top"/>
    </xf>
    <xf numFmtId="0" fontId="1" fillId="12" borderId="0" xfId="0" applyFont="1" applyFill="1" applyAlignment="1">
      <alignment vertical="top"/>
    </xf>
    <xf numFmtId="0" fontId="6" fillId="0" borderId="11" xfId="0" quotePrefix="1" applyFont="1" applyBorder="1" applyProtection="1"/>
    <xf numFmtId="0" fontId="1" fillId="0" borderId="18" xfId="0" applyFont="1" applyFill="1" applyBorder="1" applyProtection="1"/>
    <xf numFmtId="1" fontId="1" fillId="9" borderId="18" xfId="0" applyNumberFormat="1" applyFont="1" applyFill="1" applyBorder="1" applyProtection="1"/>
    <xf numFmtId="0" fontId="4" fillId="0" borderId="40" xfId="0" applyFont="1" applyBorder="1" applyAlignment="1" applyProtection="1">
      <alignment horizontal="left" indent="1"/>
    </xf>
    <xf numFmtId="164" fontId="0" fillId="9" borderId="18" xfId="0" applyNumberFormat="1" applyFont="1" applyFill="1" applyBorder="1" applyAlignment="1" applyProtection="1">
      <alignment horizontal="right" indent="1"/>
    </xf>
    <xf numFmtId="164" fontId="1" fillId="3" borderId="41" xfId="0" applyNumberFormat="1" applyFont="1" applyFill="1" applyBorder="1" applyAlignment="1" applyProtection="1">
      <alignment horizontal="right" indent="1"/>
      <protection locked="0"/>
    </xf>
    <xf numFmtId="2" fontId="1" fillId="3" borderId="43" xfId="0" applyNumberFormat="1" applyFont="1" applyFill="1" applyBorder="1" applyAlignment="1" applyProtection="1">
      <alignment horizontal="right" indent="1"/>
      <protection locked="0"/>
    </xf>
    <xf numFmtId="164" fontId="0" fillId="0" borderId="1" xfId="0" applyNumberFormat="1" applyBorder="1" applyAlignment="1" applyProtection="1">
      <alignment horizontal="left"/>
    </xf>
    <xf numFmtId="0" fontId="0" fillId="15" borderId="0" xfId="0" applyFill="1" applyAlignment="1">
      <alignment vertical="top"/>
    </xf>
    <xf numFmtId="14" fontId="0" fillId="0" borderId="0" xfId="0" applyNumberFormat="1" applyAlignment="1">
      <alignment horizontal="left" vertical="top"/>
    </xf>
    <xf numFmtId="49" fontId="0" fillId="0" borderId="0" xfId="0" applyNumberFormat="1" applyAlignment="1" applyProtection="1">
      <alignment horizontal="right" indent="1"/>
    </xf>
    <xf numFmtId="1" fontId="1" fillId="0" borderId="40" xfId="0" applyNumberFormat="1" applyFont="1" applyBorder="1" applyAlignment="1" applyProtection="1">
      <alignment horizontal="right" indent="1"/>
    </xf>
    <xf numFmtId="2" fontId="1" fillId="0" borderId="40" xfId="0" applyNumberFormat="1" applyFont="1" applyFill="1" applyBorder="1" applyAlignment="1" applyProtection="1">
      <alignment horizontal="right" indent="1"/>
    </xf>
    <xf numFmtId="164" fontId="0" fillId="0" borderId="41" xfId="0" applyNumberFormat="1" applyFont="1" applyBorder="1" applyAlignment="1" applyProtection="1">
      <alignment horizontal="right" indent="1"/>
    </xf>
    <xf numFmtId="164" fontId="0" fillId="2" borderId="41" xfId="0" applyNumberFormat="1" applyFill="1" applyBorder="1" applyAlignment="1" applyProtection="1">
      <alignment horizontal="right" indent="1"/>
      <protection locked="0"/>
    </xf>
    <xf numFmtId="0" fontId="1" fillId="0" borderId="7" xfId="0" applyFont="1" applyBorder="1" applyAlignment="1" applyProtection="1">
      <alignment horizontal="left"/>
    </xf>
    <xf numFmtId="0" fontId="1" fillId="12" borderId="0" xfId="0" applyFont="1" applyFill="1" applyAlignment="1">
      <alignment horizontal="left" vertical="top"/>
    </xf>
    <xf numFmtId="0" fontId="0" fillId="0" borderId="0" xfId="0" applyAlignment="1">
      <alignment horizontal="left" vertical="top"/>
    </xf>
    <xf numFmtId="0" fontId="0" fillId="0" borderId="49" xfId="0" applyFill="1" applyBorder="1" applyAlignment="1" applyProtection="1">
      <alignment horizontal="center"/>
      <protection locked="0"/>
    </xf>
    <xf numFmtId="1" fontId="0" fillId="0" borderId="0" xfId="0" applyNumberFormat="1" applyAlignment="1" applyProtection="1">
      <alignment horizontal="center"/>
      <protection locked="0"/>
    </xf>
    <xf numFmtId="164" fontId="0" fillId="0" borderId="0" xfId="0" applyNumberFormat="1" applyAlignment="1" applyProtection="1">
      <alignment horizontal="center"/>
    </xf>
    <xf numFmtId="164" fontId="0" fillId="0" borderId="0" xfId="0" quotePrefix="1" applyNumberFormat="1" applyAlignment="1" applyProtection="1">
      <alignment horizontal="center"/>
      <protection locked="0"/>
    </xf>
    <xf numFmtId="164" fontId="0" fillId="0" borderId="0" xfId="0" applyNumberFormat="1" applyAlignment="1" applyProtection="1">
      <alignment horizontal="left"/>
      <protection locked="0"/>
    </xf>
    <xf numFmtId="164" fontId="0" fillId="0" borderId="0" xfId="0" applyNumberFormat="1" applyBorder="1" applyAlignment="1" applyProtection="1">
      <alignment horizontal="left"/>
      <protection locked="0"/>
    </xf>
    <xf numFmtId="164" fontId="0" fillId="0" borderId="0" xfId="0" quotePrefix="1" applyNumberFormat="1" applyAlignment="1" applyProtection="1">
      <alignment horizontal="left"/>
      <protection locked="0"/>
    </xf>
    <xf numFmtId="0" fontId="0" fillId="0" borderId="8" xfId="0" applyBorder="1" applyAlignment="1" applyProtection="1">
      <alignment horizontal="left"/>
    </xf>
    <xf numFmtId="0" fontId="1" fillId="10" borderId="22" xfId="0" applyFont="1" applyFill="1" applyBorder="1" applyAlignment="1" applyProtection="1">
      <alignment horizontal="left"/>
    </xf>
    <xf numFmtId="0" fontId="1" fillId="16" borderId="22" xfId="0" applyFont="1" applyFill="1" applyBorder="1" applyAlignment="1" applyProtection="1">
      <alignment horizontal="left"/>
    </xf>
    <xf numFmtId="0" fontId="0" fillId="0" borderId="0" xfId="0" applyNumberFormat="1" applyAlignment="1" applyProtection="1">
      <alignment horizontal="left"/>
      <protection locked="0"/>
    </xf>
    <xf numFmtId="0" fontId="0" fillId="0" borderId="0" xfId="0" applyNumberFormat="1" applyBorder="1" applyAlignment="1" applyProtection="1">
      <alignment horizontal="left"/>
      <protection locked="0"/>
    </xf>
    <xf numFmtId="0" fontId="0" fillId="0" borderId="0" xfId="0" quotePrefix="1" applyNumberFormat="1" applyAlignment="1" applyProtection="1">
      <alignment horizontal="left"/>
      <protection locked="0"/>
    </xf>
    <xf numFmtId="164" fontId="3" fillId="2" borderId="9" xfId="0" applyNumberFormat="1" applyFont="1" applyFill="1" applyBorder="1" applyProtection="1"/>
    <xf numFmtId="0" fontId="0" fillId="0" borderId="21" xfId="0" applyBorder="1" applyProtection="1"/>
    <xf numFmtId="4" fontId="0" fillId="9" borderId="15" xfId="0" applyNumberFormat="1" applyFont="1" applyFill="1" applyBorder="1" applyAlignment="1" applyProtection="1">
      <alignment horizontal="right" indent="1"/>
    </xf>
    <xf numFmtId="0" fontId="1" fillId="9" borderId="15" xfId="0" applyFont="1" applyFill="1" applyBorder="1" applyProtection="1"/>
    <xf numFmtId="0" fontId="14" fillId="0" borderId="15" xfId="0" applyFont="1" applyFill="1" applyBorder="1" applyProtection="1"/>
    <xf numFmtId="4" fontId="14" fillId="0" borderId="15" xfId="0" applyNumberFormat="1" applyFont="1" applyBorder="1" applyAlignment="1" applyProtection="1">
      <alignment horizontal="right" indent="1"/>
    </xf>
    <xf numFmtId="0" fontId="0" fillId="0" borderId="15" xfId="0" applyBorder="1" applyProtection="1"/>
    <xf numFmtId="0" fontId="14" fillId="0" borderId="15" xfId="0" applyFont="1" applyBorder="1" applyProtection="1"/>
    <xf numFmtId="0" fontId="0" fillId="0" borderId="16" xfId="0" applyBorder="1" applyProtection="1"/>
    <xf numFmtId="0" fontId="0" fillId="9" borderId="15" xfId="0" applyFont="1" applyFill="1" applyBorder="1" applyProtection="1"/>
    <xf numFmtId="4" fontId="0" fillId="9" borderId="15" xfId="0" applyNumberFormat="1" applyFill="1" applyBorder="1" applyAlignment="1" applyProtection="1">
      <alignment horizontal="right" indent="1"/>
    </xf>
    <xf numFmtId="0" fontId="0" fillId="0" borderId="17" xfId="0" applyBorder="1" applyProtection="1"/>
    <xf numFmtId="0" fontId="0" fillId="12" borderId="15" xfId="0" applyFill="1" applyBorder="1" applyProtection="1"/>
    <xf numFmtId="167" fontId="0" fillId="12" borderId="15" xfId="0" applyNumberFormat="1" applyFill="1" applyBorder="1" applyAlignment="1" applyProtection="1">
      <alignment horizontal="right" indent="1"/>
    </xf>
    <xf numFmtId="4" fontId="0" fillId="0" borderId="15" xfId="0" applyNumberFormat="1" applyBorder="1" applyAlignment="1" applyProtection="1">
      <alignment horizontal="right" indent="1"/>
    </xf>
    <xf numFmtId="0" fontId="0" fillId="13" borderId="15" xfId="0" applyFill="1" applyBorder="1" applyProtection="1"/>
    <xf numFmtId="167" fontId="1" fillId="13" borderId="15" xfId="0" applyNumberFormat="1" applyFont="1" applyFill="1" applyBorder="1" applyAlignment="1" applyProtection="1">
      <alignment horizontal="right" indent="1"/>
    </xf>
    <xf numFmtId="167" fontId="0" fillId="13" borderId="15" xfId="0" applyNumberFormat="1" applyFont="1" applyFill="1" applyBorder="1" applyAlignment="1" applyProtection="1">
      <alignment horizontal="right" indent="1"/>
    </xf>
    <xf numFmtId="167" fontId="0" fillId="0" borderId="15" xfId="0" applyNumberFormat="1" applyBorder="1" applyAlignment="1" applyProtection="1">
      <alignment horizontal="right" indent="1"/>
    </xf>
    <xf numFmtId="167" fontId="0" fillId="13" borderId="15" xfId="0" applyNumberFormat="1" applyFill="1" applyBorder="1" applyAlignment="1" applyProtection="1">
      <alignment horizontal="right" indent="1"/>
    </xf>
    <xf numFmtId="167" fontId="0" fillId="0" borderId="15" xfId="0" applyNumberFormat="1" applyFont="1" applyBorder="1" applyAlignment="1" applyProtection="1">
      <alignment horizontal="right" indent="1"/>
    </xf>
    <xf numFmtId="0" fontId="1" fillId="18" borderId="15" xfId="0" applyFont="1" applyFill="1" applyBorder="1" applyProtection="1"/>
    <xf numFmtId="167" fontId="1" fillId="18" borderId="15" xfId="0" applyNumberFormat="1" applyFont="1" applyFill="1" applyBorder="1" applyAlignment="1" applyProtection="1">
      <alignment horizontal="right" indent="1"/>
    </xf>
    <xf numFmtId="0" fontId="0" fillId="9" borderId="15" xfId="0" applyFill="1" applyBorder="1" applyProtection="1"/>
    <xf numFmtId="0" fontId="10" fillId="9" borderId="15" xfId="0" applyFont="1" applyFill="1" applyBorder="1" applyProtection="1"/>
    <xf numFmtId="0" fontId="0" fillId="0" borderId="0" xfId="0" applyAlignment="1" applyProtection="1">
      <alignment horizontal="left" vertical="top"/>
    </xf>
    <xf numFmtId="0" fontId="0" fillId="0" borderId="0" xfId="0" quotePrefix="1" applyNumberFormat="1" applyProtection="1"/>
    <xf numFmtId="0" fontId="1" fillId="0" borderId="27" xfId="0" applyFont="1" applyBorder="1" applyAlignment="1" applyProtection="1">
      <alignment horizontal="right" indent="1"/>
      <protection locked="0"/>
    </xf>
    <xf numFmtId="0" fontId="0" fillId="0" borderId="33" xfId="0" applyBorder="1" applyAlignment="1" applyProtection="1">
      <alignment vertical="top"/>
      <protection locked="0"/>
    </xf>
    <xf numFmtId="0" fontId="1" fillId="0" borderId="28" xfId="0" applyFont="1" applyBorder="1" applyProtection="1">
      <protection locked="0"/>
    </xf>
    <xf numFmtId="0" fontId="0" fillId="0" borderId="28" xfId="0" applyBorder="1" applyProtection="1">
      <protection locked="0"/>
    </xf>
    <xf numFmtId="164" fontId="0" fillId="0" borderId="28" xfId="0" applyNumberFormat="1" applyBorder="1" applyAlignment="1" applyProtection="1">
      <alignment horizontal="center"/>
      <protection locked="0"/>
    </xf>
    <xf numFmtId="0" fontId="0" fillId="0" borderId="28" xfId="0" applyBorder="1" applyAlignment="1" applyProtection="1">
      <alignment vertical="top"/>
      <protection locked="0"/>
    </xf>
    <xf numFmtId="0" fontId="0" fillId="0" borderId="28" xfId="0" applyBorder="1" applyAlignment="1" applyProtection="1">
      <alignment horizontal="left" vertical="top"/>
      <protection locked="0"/>
    </xf>
    <xf numFmtId="0" fontId="0" fillId="0" borderId="27" xfId="0" applyBorder="1" applyProtection="1">
      <protection locked="0"/>
    </xf>
    <xf numFmtId="0" fontId="0" fillId="0" borderId="34" xfId="0" applyBorder="1" applyProtection="1">
      <protection locked="0"/>
    </xf>
    <xf numFmtId="0" fontId="0" fillId="0" borderId="35" xfId="0" applyBorder="1" applyAlignment="1" applyProtection="1">
      <alignment horizontal="left" vertical="top"/>
      <protection locked="0"/>
    </xf>
    <xf numFmtId="0" fontId="0" fillId="0" borderId="35" xfId="0" applyBorder="1" applyProtection="1">
      <protection locked="0"/>
    </xf>
    <xf numFmtId="164" fontId="0" fillId="0" borderId="35" xfId="0" applyNumberFormat="1" applyBorder="1" applyAlignment="1" applyProtection="1">
      <alignment horizontal="center"/>
      <protection locked="0"/>
    </xf>
    <xf numFmtId="4" fontId="0" fillId="0" borderId="0" xfId="0" applyNumberFormat="1" applyAlignment="1" applyProtection="1">
      <alignment horizontal="right" indent="1"/>
    </xf>
    <xf numFmtId="2" fontId="0" fillId="0" borderId="0" xfId="0" applyNumberFormat="1" applyAlignment="1" applyProtection="1">
      <alignment horizontal="right" indent="1"/>
    </xf>
    <xf numFmtId="0" fontId="1" fillId="0" borderId="1" xfId="0" applyFont="1" applyBorder="1" applyProtection="1"/>
    <xf numFmtId="0" fontId="20" fillId="0" borderId="0" xfId="0" applyFont="1" applyProtection="1"/>
    <xf numFmtId="0" fontId="21" fillId="0" borderId="0" xfId="0" applyFont="1" applyProtection="1"/>
    <xf numFmtId="0" fontId="22" fillId="0" borderId="0" xfId="0" applyFont="1" applyProtection="1"/>
    <xf numFmtId="0" fontId="24" fillId="0" borderId="0" xfId="0" applyFont="1" applyProtection="1"/>
    <xf numFmtId="164" fontId="0" fillId="3" borderId="0" xfId="0" applyNumberFormat="1" applyFill="1" applyAlignment="1" applyProtection="1">
      <alignment horizontal="right" indent="1"/>
      <protection locked="0"/>
    </xf>
    <xf numFmtId="164" fontId="0" fillId="11" borderId="0" xfId="0" applyNumberFormat="1" applyFill="1" applyAlignment="1" applyProtection="1">
      <alignment horizontal="right" indent="1"/>
      <protection locked="0"/>
    </xf>
    <xf numFmtId="164" fontId="0" fillId="0" borderId="0" xfId="0" applyNumberFormat="1" applyFill="1" applyAlignment="1" applyProtection="1">
      <alignment horizontal="right" indent="1"/>
      <protection locked="0"/>
    </xf>
    <xf numFmtId="0" fontId="0" fillId="11" borderId="0" xfId="0" applyFill="1" applyAlignment="1" applyProtection="1">
      <alignment horizontal="left"/>
      <protection locked="0"/>
    </xf>
    <xf numFmtId="4" fontId="0" fillId="3" borderId="0" xfId="0" applyNumberFormat="1" applyFill="1" applyAlignment="1" applyProtection="1">
      <alignment horizontal="left"/>
      <protection locked="0"/>
    </xf>
    <xf numFmtId="0" fontId="0" fillId="3" borderId="0" xfId="0" applyFill="1" applyAlignment="1" applyProtection="1">
      <alignment horizontal="left"/>
      <protection locked="0"/>
    </xf>
    <xf numFmtId="4" fontId="0" fillId="11" borderId="0" xfId="0" applyNumberFormat="1" applyFill="1" applyAlignment="1" applyProtection="1">
      <alignment horizontal="left"/>
      <protection locked="0"/>
    </xf>
    <xf numFmtId="2" fontId="0" fillId="11" borderId="0" xfId="0" applyNumberFormat="1" applyFill="1" applyAlignment="1" applyProtection="1">
      <alignment horizontal="right" indent="1"/>
      <protection locked="0"/>
    </xf>
    <xf numFmtId="2" fontId="0" fillId="3" borderId="0" xfId="0" applyNumberFormat="1" applyFill="1" applyAlignment="1" applyProtection="1">
      <alignment horizontal="right" indent="1"/>
      <protection locked="0"/>
    </xf>
    <xf numFmtId="2" fontId="0" fillId="14" borderId="0" xfId="0" applyNumberFormat="1" applyFont="1" applyFill="1" applyBorder="1" applyAlignment="1" applyProtection="1">
      <alignment horizontal="right" indent="1"/>
      <protection locked="0"/>
    </xf>
    <xf numFmtId="2" fontId="1" fillId="3" borderId="44" xfId="0" applyNumberFormat="1" applyFont="1" applyFill="1" applyBorder="1" applyAlignment="1" applyProtection="1">
      <alignment horizontal="right" indent="1" shrinkToFit="1"/>
      <protection locked="0"/>
    </xf>
    <xf numFmtId="164" fontId="1" fillId="3" borderId="42" xfId="0" applyNumberFormat="1" applyFont="1" applyFill="1" applyBorder="1" applyAlignment="1" applyProtection="1">
      <alignment horizontal="right" indent="1" shrinkToFit="1"/>
      <protection locked="0"/>
    </xf>
    <xf numFmtId="0" fontId="0" fillId="11" borderId="0" xfId="0" applyFill="1"/>
    <xf numFmtId="0" fontId="0" fillId="11" borderId="0" xfId="0" applyFill="1" applyProtection="1"/>
    <xf numFmtId="0" fontId="0" fillId="3" borderId="0" xfId="0" applyFill="1"/>
    <xf numFmtId="0" fontId="0" fillId="3" borderId="0" xfId="0" applyFill="1" applyProtection="1"/>
    <xf numFmtId="0" fontId="0" fillId="15" borderId="0" xfId="0" applyFill="1" applyAlignment="1">
      <alignment horizontal="left" vertical="top"/>
    </xf>
    <xf numFmtId="164" fontId="14" fillId="0" borderId="9" xfId="0" applyNumberFormat="1" applyFont="1" applyBorder="1" applyAlignment="1" applyProtection="1">
      <alignment horizontal="right" indent="1" shrinkToFit="1"/>
    </xf>
    <xf numFmtId="0" fontId="0" fillId="15" borderId="13" xfId="0" applyFont="1" applyFill="1" applyBorder="1" applyAlignment="1" applyProtection="1">
      <alignment vertical="center"/>
    </xf>
    <xf numFmtId="164" fontId="20" fillId="15" borderId="51" xfId="0" applyNumberFormat="1" applyFont="1" applyFill="1" applyBorder="1" applyAlignment="1" applyProtection="1">
      <alignment vertical="top" wrapText="1" shrinkToFit="1"/>
    </xf>
    <xf numFmtId="164" fontId="20" fillId="15" borderId="39" xfId="0" applyNumberFormat="1" applyFont="1" applyFill="1" applyBorder="1" applyAlignment="1" applyProtection="1">
      <alignment vertical="top" wrapText="1" shrinkToFit="1"/>
    </xf>
    <xf numFmtId="0" fontId="0" fillId="19" borderId="9" xfId="0" applyFont="1" applyFill="1" applyBorder="1" applyAlignment="1"/>
    <xf numFmtId="0" fontId="1" fillId="15" borderId="0" xfId="0" applyFont="1" applyFill="1" applyAlignment="1">
      <alignment horizontal="left" vertical="top"/>
    </xf>
    <xf numFmtId="0" fontId="25" fillId="15" borderId="0" xfId="0" applyFont="1" applyFill="1" applyAlignment="1">
      <alignment vertical="top"/>
    </xf>
    <xf numFmtId="0" fontId="0" fillId="15" borderId="0" xfId="0" applyFill="1" applyAlignment="1">
      <alignment vertical="top" wrapText="1"/>
    </xf>
    <xf numFmtId="14" fontId="0" fillId="15" borderId="0" xfId="0" applyNumberFormat="1" applyFill="1" applyAlignment="1">
      <alignment vertical="top"/>
    </xf>
    <xf numFmtId="14" fontId="0" fillId="15" borderId="0" xfId="0" applyNumberFormat="1" applyFill="1" applyAlignment="1">
      <alignment horizontal="left" vertical="top"/>
    </xf>
    <xf numFmtId="0" fontId="1" fillId="20" borderId="0" xfId="0" applyFont="1" applyFill="1" applyAlignment="1">
      <alignment horizontal="left" vertical="top"/>
    </xf>
    <xf numFmtId="0" fontId="0" fillId="15" borderId="0" xfId="0" applyFill="1" applyAlignment="1">
      <alignment horizontal="left" vertical="top"/>
    </xf>
    <xf numFmtId="0" fontId="20" fillId="0" borderId="29" xfId="0" applyFont="1" applyBorder="1" applyProtection="1">
      <protection locked="0"/>
    </xf>
    <xf numFmtId="0" fontId="20" fillId="0" borderId="36" xfId="0" applyFont="1" applyBorder="1" applyProtection="1">
      <protection locked="0"/>
    </xf>
    <xf numFmtId="0" fontId="0" fillId="0" borderId="13" xfId="0" applyBorder="1" applyAlignment="1" applyProtection="1">
      <alignment horizontal="left"/>
    </xf>
    <xf numFmtId="0" fontId="0" fillId="0" borderId="39" xfId="0" applyBorder="1" applyAlignment="1" applyProtection="1">
      <alignment horizontal="left"/>
    </xf>
    <xf numFmtId="164" fontId="27" fillId="17" borderId="18" xfId="0" applyNumberFormat="1" applyFont="1" applyFill="1" applyBorder="1" applyAlignment="1" applyProtection="1">
      <alignment horizontal="left"/>
    </xf>
    <xf numFmtId="164" fontId="26" fillId="17" borderId="19" xfId="0" applyNumberFormat="1" applyFont="1" applyFill="1" applyBorder="1" applyAlignment="1" applyProtection="1">
      <alignment horizontal="left"/>
    </xf>
    <xf numFmtId="164" fontId="26" fillId="17" borderId="20" xfId="0" applyNumberFormat="1" applyFont="1" applyFill="1" applyBorder="1" applyAlignment="1" applyProtection="1">
      <alignment horizontal="left"/>
    </xf>
    <xf numFmtId="0" fontId="14" fillId="0" borderId="18" xfId="0" applyFont="1" applyBorder="1" applyAlignment="1" applyProtection="1">
      <alignment horizontal="right" indent="1"/>
    </xf>
    <xf numFmtId="0" fontId="14" fillId="0" borderId="20" xfId="0" applyFont="1" applyBorder="1" applyAlignment="1" applyProtection="1">
      <alignment horizontal="right" indent="1"/>
    </xf>
    <xf numFmtId="1" fontId="0" fillId="0" borderId="37" xfId="0" applyNumberFormat="1" applyFont="1" applyFill="1" applyBorder="1" applyAlignment="1" applyProtection="1">
      <alignment horizontal="center" shrinkToFit="1"/>
    </xf>
    <xf numFmtId="1" fontId="0" fillId="0" borderId="38" xfId="0" applyNumberFormat="1" applyFont="1" applyFill="1" applyBorder="1" applyAlignment="1" applyProtection="1">
      <alignment horizontal="center" shrinkToFit="1"/>
    </xf>
    <xf numFmtId="1" fontId="0" fillId="10" borderId="47" xfId="0" applyNumberFormat="1" applyFont="1" applyFill="1" applyBorder="1" applyAlignment="1" applyProtection="1">
      <alignment horizontal="left" shrinkToFit="1"/>
      <protection locked="0"/>
    </xf>
    <xf numFmtId="1" fontId="0" fillId="10" borderId="48" xfId="0" applyNumberFormat="1" applyFont="1" applyFill="1" applyBorder="1" applyAlignment="1" applyProtection="1">
      <alignment horizontal="left" shrinkToFit="1"/>
      <protection locked="0"/>
    </xf>
    <xf numFmtId="0" fontId="1" fillId="0" borderId="47" xfId="0" applyFont="1" applyFill="1" applyBorder="1" applyAlignment="1" applyProtection="1">
      <alignment horizontal="center"/>
      <protection locked="0"/>
    </xf>
    <xf numFmtId="0" fontId="1" fillId="0" borderId="48" xfId="0" applyFont="1" applyFill="1" applyBorder="1" applyAlignment="1" applyProtection="1">
      <alignment horizontal="center"/>
      <protection locked="0"/>
    </xf>
    <xf numFmtId="0" fontId="0" fillId="0" borderId="23" xfId="0" applyBorder="1" applyAlignment="1" applyProtection="1">
      <alignment horizontal="center"/>
      <protection locked="0"/>
    </xf>
    <xf numFmtId="0" fontId="0" fillId="0" borderId="38" xfId="0" applyBorder="1" applyAlignment="1" applyProtection="1">
      <alignment horizontal="center"/>
      <protection locked="0"/>
    </xf>
    <xf numFmtId="1" fontId="0" fillId="0" borderId="47" xfId="0" applyNumberFormat="1" applyFont="1" applyFill="1" applyBorder="1" applyAlignment="1" applyProtection="1">
      <alignment horizontal="center" shrinkToFit="1"/>
      <protection locked="0"/>
    </xf>
    <xf numFmtId="1" fontId="0" fillId="0" borderId="48" xfId="0" applyNumberFormat="1" applyFont="1" applyFill="1" applyBorder="1" applyAlignment="1" applyProtection="1">
      <alignment horizontal="center" shrinkToFit="1"/>
      <protection locked="0"/>
    </xf>
    <xf numFmtId="0" fontId="0" fillId="0" borderId="14" xfId="0" applyFont="1" applyBorder="1" applyAlignment="1" applyProtection="1">
      <alignment horizontal="left" vertical="top" wrapText="1"/>
    </xf>
    <xf numFmtId="0" fontId="0" fillId="0" borderId="0" xfId="0" applyFont="1" applyBorder="1" applyAlignment="1" applyProtection="1">
      <alignment horizontal="left" vertical="top" wrapText="1"/>
    </xf>
    <xf numFmtId="0" fontId="0" fillId="0" borderId="50" xfId="0" applyFont="1" applyBorder="1" applyAlignment="1" applyProtection="1">
      <alignment horizontal="left" vertical="top" wrapText="1"/>
    </xf>
    <xf numFmtId="0" fontId="0" fillId="0" borderId="37" xfId="0" applyFont="1" applyBorder="1" applyAlignment="1" applyProtection="1">
      <alignment horizontal="left" vertical="top" wrapText="1"/>
    </xf>
    <xf numFmtId="0" fontId="0" fillId="0" borderId="23" xfId="0" applyFont="1" applyBorder="1" applyAlignment="1" applyProtection="1">
      <alignment horizontal="left" vertical="top" wrapText="1"/>
    </xf>
    <xf numFmtId="0" fontId="0" fillId="0" borderId="38" xfId="0" applyFont="1" applyBorder="1" applyAlignment="1" applyProtection="1">
      <alignment horizontal="left" vertical="top" wrapText="1"/>
    </xf>
    <xf numFmtId="164" fontId="0" fillId="0" borderId="18" xfId="0" applyNumberFormat="1" applyFont="1" applyBorder="1" applyAlignment="1" applyProtection="1">
      <alignment horizontal="left" indent="1" shrinkToFit="1"/>
    </xf>
    <xf numFmtId="164" fontId="0" fillId="0" borderId="20" xfId="0" applyNumberFormat="1" applyFont="1" applyBorder="1" applyAlignment="1" applyProtection="1">
      <alignment horizontal="left" indent="1" shrinkToFit="1"/>
    </xf>
    <xf numFmtId="164" fontId="0" fillId="0" borderId="18" xfId="0" applyNumberFormat="1" applyFont="1" applyFill="1" applyBorder="1" applyAlignment="1" applyProtection="1">
      <alignment horizontal="left" indent="1"/>
    </xf>
    <xf numFmtId="164" fontId="0" fillId="0" borderId="20" xfId="0" applyNumberFormat="1" applyFont="1" applyFill="1" applyBorder="1" applyAlignment="1" applyProtection="1">
      <alignment horizontal="left" indent="1"/>
    </xf>
    <xf numFmtId="164" fontId="0" fillId="0" borderId="18" xfId="0" applyNumberFormat="1" applyFont="1" applyBorder="1" applyAlignment="1" applyProtection="1">
      <alignment horizontal="left" indent="1"/>
    </xf>
    <xf numFmtId="164" fontId="0" fillId="0" borderId="20" xfId="0" applyNumberFormat="1" applyFont="1" applyBorder="1" applyAlignment="1" applyProtection="1">
      <alignment horizontal="left" indent="1"/>
    </xf>
    <xf numFmtId="0" fontId="1" fillId="11" borderId="18" xfId="0" applyFont="1" applyFill="1" applyBorder="1" applyAlignment="1" applyProtection="1">
      <alignment horizontal="left" vertical="center"/>
    </xf>
    <xf numFmtId="0" fontId="1" fillId="11" borderId="19" xfId="0" applyFont="1" applyFill="1" applyBorder="1" applyAlignment="1" applyProtection="1">
      <alignment horizontal="left" vertical="center"/>
    </xf>
    <xf numFmtId="0" fontId="1" fillId="11" borderId="20" xfId="0" applyFont="1" applyFill="1" applyBorder="1" applyAlignment="1" applyProtection="1">
      <alignment horizontal="left" vertical="center"/>
    </xf>
    <xf numFmtId="0" fontId="1" fillId="0" borderId="2" xfId="0" applyFont="1" applyBorder="1" applyProtection="1"/>
    <xf numFmtId="0" fontId="1" fillId="0" borderId="7" xfId="0" applyFont="1" applyBorder="1" applyProtection="1"/>
    <xf numFmtId="0" fontId="1" fillId="0" borderId="6" xfId="0" applyFont="1" applyBorder="1" applyAlignment="1" applyProtection="1">
      <alignment horizontal="left"/>
    </xf>
    <xf numFmtId="0" fontId="1" fillId="0" borderId="2" xfId="0" applyFont="1" applyBorder="1" applyAlignment="1" applyProtection="1">
      <alignment horizontal="left"/>
    </xf>
    <xf numFmtId="0" fontId="1" fillId="0" borderId="7" xfId="0" applyFont="1" applyBorder="1" applyAlignment="1" applyProtection="1">
      <alignment horizontal="left"/>
    </xf>
    <xf numFmtId="0" fontId="0" fillId="0" borderId="18" xfId="0" applyBorder="1" applyAlignment="1" applyProtection="1">
      <alignment horizontal="center"/>
      <protection locked="0"/>
    </xf>
    <xf numFmtId="0" fontId="0" fillId="0" borderId="20" xfId="0" applyBorder="1" applyAlignment="1" applyProtection="1">
      <alignment horizontal="center"/>
      <protection locked="0"/>
    </xf>
    <xf numFmtId="164" fontId="8" fillId="2" borderId="47" xfId="0" applyNumberFormat="1" applyFont="1" applyFill="1" applyBorder="1" applyAlignment="1" applyProtection="1">
      <alignment horizontal="center"/>
      <protection locked="0"/>
    </xf>
    <xf numFmtId="164" fontId="8" fillId="2" borderId="48" xfId="0" applyNumberFormat="1" applyFont="1" applyFill="1" applyBorder="1" applyAlignment="1" applyProtection="1">
      <alignment horizontal="center"/>
      <protection locked="0"/>
    </xf>
    <xf numFmtId="164" fontId="26" fillId="17" borderId="18" xfId="0" applyNumberFormat="1" applyFont="1" applyFill="1" applyBorder="1" applyAlignment="1" applyProtection="1">
      <alignment horizontal="left"/>
    </xf>
    <xf numFmtId="0" fontId="4" fillId="0" borderId="14" xfId="0" applyFont="1" applyBorder="1" applyAlignment="1" applyProtection="1">
      <alignment horizontal="center"/>
    </xf>
    <xf numFmtId="0" fontId="4" fillId="0" borderId="50" xfId="0" applyFont="1" applyBorder="1" applyAlignment="1" applyProtection="1">
      <alignment horizontal="center"/>
    </xf>
    <xf numFmtId="0" fontId="0" fillId="0" borderId="47" xfId="0" applyFont="1" applyFill="1" applyBorder="1" applyAlignment="1" applyProtection="1">
      <alignment horizontal="center"/>
      <protection locked="0"/>
    </xf>
    <xf numFmtId="0" fontId="0" fillId="0" borderId="48" xfId="0" applyFont="1" applyFill="1" applyBorder="1" applyAlignment="1" applyProtection="1">
      <alignment horizontal="center"/>
      <protection locked="0"/>
    </xf>
    <xf numFmtId="0" fontId="0" fillId="0" borderId="45" xfId="0" applyBorder="1" applyAlignment="1" applyProtection="1">
      <alignment horizontal="center"/>
    </xf>
    <xf numFmtId="0" fontId="0" fillId="0" borderId="46" xfId="0" applyBorder="1" applyAlignment="1" applyProtection="1">
      <alignment horizontal="center"/>
    </xf>
    <xf numFmtId="0" fontId="1" fillId="0" borderId="24" xfId="0" applyFont="1" applyBorder="1" applyAlignment="1" applyProtection="1">
      <alignment horizontal="center" vertical="top" wrapText="1"/>
    </xf>
    <xf numFmtId="0" fontId="1" fillId="0" borderId="30" xfId="0" applyFont="1" applyBorder="1" applyAlignment="1" applyProtection="1">
      <alignment horizontal="center" vertical="top" wrapText="1"/>
    </xf>
    <xf numFmtId="0" fontId="1" fillId="0" borderId="37" xfId="0" applyFont="1" applyBorder="1" applyAlignment="1" applyProtection="1">
      <alignment horizontal="center"/>
    </xf>
    <xf numFmtId="0" fontId="1" fillId="0" borderId="23" xfId="0" applyFont="1" applyBorder="1" applyAlignment="1" applyProtection="1">
      <alignment horizontal="center"/>
    </xf>
    <xf numFmtId="0" fontId="1" fillId="0" borderId="38" xfId="0" applyFont="1" applyBorder="1" applyAlignment="1" applyProtection="1">
      <alignment horizontal="center"/>
    </xf>
    <xf numFmtId="0" fontId="1" fillId="0" borderId="25" xfId="0" applyFont="1" applyBorder="1" applyAlignment="1" applyProtection="1">
      <alignment horizontal="left" vertical="top"/>
    </xf>
    <xf numFmtId="0" fontId="1" fillId="0" borderId="31" xfId="0" applyFont="1" applyBorder="1" applyAlignment="1" applyProtection="1">
      <alignment horizontal="left" vertical="top"/>
    </xf>
    <xf numFmtId="0" fontId="1" fillId="0" borderId="26" xfId="0" applyFont="1" applyBorder="1" applyAlignment="1" applyProtection="1">
      <alignment horizontal="left" vertical="top"/>
    </xf>
    <xf numFmtId="0" fontId="1" fillId="0" borderId="32" xfId="0" applyFont="1" applyBorder="1" applyAlignment="1" applyProtection="1">
      <alignment horizontal="left" vertical="top"/>
    </xf>
    <xf numFmtId="0" fontId="1" fillId="0" borderId="24" xfId="0" applyFont="1" applyBorder="1" applyAlignment="1" applyProtection="1">
      <alignment horizontal="center" vertical="top"/>
    </xf>
    <xf numFmtId="0" fontId="1" fillId="0" borderId="30" xfId="0" applyFont="1" applyBorder="1" applyAlignment="1" applyProtection="1">
      <alignment horizontal="center" vertical="top"/>
    </xf>
    <xf numFmtId="0" fontId="1" fillId="0" borderId="24" xfId="0" applyFont="1" applyBorder="1" applyAlignment="1" applyProtection="1">
      <alignment horizontal="left" vertical="top"/>
    </xf>
    <xf numFmtId="0" fontId="1" fillId="0" borderId="30" xfId="0" applyFont="1" applyBorder="1" applyAlignment="1" applyProtection="1">
      <alignment horizontal="left" vertical="top"/>
    </xf>
    <xf numFmtId="164" fontId="26" fillId="17" borderId="0" xfId="0" applyNumberFormat="1" applyFont="1" applyFill="1" applyBorder="1" applyAlignment="1" applyProtection="1">
      <alignment horizontal="left"/>
    </xf>
    <xf numFmtId="0" fontId="0" fillId="0" borderId="0" xfId="0" applyAlignment="1">
      <alignment horizontal="left" vertical="top" wrapText="1"/>
    </xf>
    <xf numFmtId="0" fontId="0" fillId="15" borderId="0" xfId="0" applyFill="1" applyAlignment="1">
      <alignment horizontal="left" vertical="top" wrapText="1"/>
    </xf>
    <xf numFmtId="0" fontId="1" fillId="12" borderId="0" xfId="0" applyFont="1" applyFill="1" applyAlignment="1">
      <alignment horizontal="left" vertical="top"/>
    </xf>
    <xf numFmtId="0" fontId="0" fillId="15" borderId="0" xfId="0" applyFont="1" applyFill="1" applyAlignment="1">
      <alignment horizontal="left" vertical="top" wrapText="1"/>
    </xf>
    <xf numFmtId="164" fontId="26" fillId="17" borderId="14" xfId="0" applyNumberFormat="1" applyFont="1" applyFill="1" applyBorder="1" applyAlignment="1" applyProtection="1">
      <alignment horizontal="left" vertical="top"/>
    </xf>
    <xf numFmtId="164" fontId="26" fillId="17" borderId="0" xfId="0" applyNumberFormat="1" applyFont="1" applyFill="1" applyBorder="1" applyAlignment="1" applyProtection="1">
      <alignment horizontal="left" vertical="top"/>
    </xf>
    <xf numFmtId="0" fontId="0" fillId="15" borderId="0" xfId="0" applyFill="1" applyAlignment="1">
      <alignment horizontal="left" vertical="top"/>
    </xf>
    <xf numFmtId="0" fontId="0" fillId="15" borderId="0" xfId="0" applyFill="1" applyAlignment="1">
      <alignment horizontal="left" vertical="top" wrapText="1" shrinkToFit="1"/>
    </xf>
  </cellXfs>
  <cellStyles count="2">
    <cellStyle name="Hypertextový odkaz" xfId="1" builtinId="8"/>
    <cellStyle name="Normální" xfId="0" builtinId="0"/>
  </cellStyles>
  <dxfs count="166">
    <dxf>
      <numFmt numFmtId="166" formatCode="000"/>
      <alignment horizontal="right" vertical="bottom" textRotation="0" wrapText="0" indent="1" justifyLastLine="0" shrinkToFit="0" readingOrder="0"/>
      <protection locked="1" hidden="0"/>
    </dxf>
    <dxf>
      <numFmt numFmtId="166" formatCode="000"/>
      <alignment horizontal="right" vertical="bottom" textRotation="0" wrapText="0" indent="1" justifyLastLine="0" shrinkToFit="0" readingOrder="0"/>
      <protection locked="1" hidden="0"/>
    </dxf>
    <dxf>
      <fill>
        <patternFill patternType="solid">
          <fgColor indexed="64"/>
          <bgColor theme="9" tint="0.59999389629810485"/>
        </patternFill>
      </fill>
      <protection locked="1" hidden="0"/>
    </dxf>
    <dxf>
      <fill>
        <patternFill patternType="solid">
          <fgColor indexed="64"/>
          <bgColor theme="9" tint="0.59999389629810485"/>
        </patternFill>
      </fill>
      <protection locked="1" hidden="0"/>
    </dxf>
    <dxf>
      <fill>
        <patternFill patternType="solid">
          <fgColor indexed="64"/>
          <bgColor theme="9" tint="0.59999389629810485"/>
        </patternFill>
      </fill>
      <protection locked="1" hidden="0"/>
    </dxf>
    <dxf>
      <protection locked="1" hidden="0"/>
    </dxf>
    <dxf>
      <protection locked="1" hidden="0"/>
    </dxf>
    <dxf>
      <protection locked="1" hidden="0"/>
    </dxf>
    <dxf>
      <protection locked="1" hidden="0"/>
    </dxf>
    <dxf>
      <protection locked="1" hidden="0"/>
    </dxf>
    <dxf>
      <numFmt numFmtId="4" formatCode="#,##0.00"/>
      <alignment horizontal="right" vertical="bottom" textRotation="0" wrapText="0" indent="1" justifyLastLine="0" shrinkToFit="0" readingOrder="0"/>
      <protection locked="1" hidden="0"/>
    </dxf>
    <dxf>
      <protection locked="1" hidden="0"/>
    </dxf>
    <dxf>
      <protection locked="1" hidden="0"/>
    </dxf>
    <dxf>
      <protection locked="1" hidden="0"/>
    </dxf>
    <dxf>
      <alignment horizontal="right" vertical="bottom" textRotation="0" wrapText="0" indent="0" justifyLastLine="0" shrinkToFit="0" readingOrder="0"/>
      <protection locked="1" hidden="0"/>
    </dxf>
    <dxf>
      <numFmt numFmtId="164" formatCode="0.0"/>
      <alignment horizontal="right" vertical="bottom" textRotation="0" wrapText="0" indent="1" justifyLastLine="0" shrinkToFit="0" readingOrder="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protection locked="1" hidden="0"/>
    </dxf>
    <dxf>
      <font>
        <b/>
        <i val="0"/>
        <strike val="0"/>
        <condense val="0"/>
        <extend val="0"/>
        <outline val="0"/>
        <shadow val="0"/>
        <u val="none"/>
        <vertAlign val="baseline"/>
        <sz val="11"/>
        <color theme="1"/>
        <name val="Calibri"/>
        <scheme val="minor"/>
      </font>
      <protection locked="1" hidden="0"/>
    </dxf>
    <dxf>
      <fill>
        <patternFill>
          <bgColor theme="0" tint="-4.9989318521683403E-2"/>
        </patternFill>
      </fill>
    </dxf>
    <dxf>
      <fill>
        <patternFill>
          <bgColor theme="7" tint="0.39994506668294322"/>
        </patternFill>
      </fill>
    </dxf>
    <dxf>
      <fill>
        <patternFill>
          <bgColor theme="3" tint="0.59996337778862885"/>
        </patternFill>
      </fill>
    </dxf>
    <dxf>
      <fill>
        <patternFill patternType="none">
          <bgColor auto="1"/>
        </patternFill>
      </fill>
      <border>
        <left style="thin">
          <color rgb="FFFF0000"/>
        </left>
        <right style="thin">
          <color rgb="FFFF0000"/>
        </right>
        <top style="thin">
          <color rgb="FFFF0000"/>
        </top>
        <bottom style="thin">
          <color rgb="FFFF0000"/>
        </bottom>
      </border>
    </dxf>
    <dxf>
      <fill>
        <patternFill>
          <bgColor theme="3" tint="0.59996337778862885"/>
        </patternFill>
      </fill>
    </dxf>
    <dxf>
      <fill>
        <patternFill>
          <bgColor theme="7" tint="0.39994506668294322"/>
        </patternFill>
      </fill>
    </dxf>
    <dxf>
      <fill>
        <patternFill>
          <bgColor theme="7" tint="0.39994506668294322"/>
        </patternFill>
      </fill>
    </dxf>
    <dxf>
      <fill>
        <patternFill>
          <bgColor theme="3" tint="0.59996337778862885"/>
        </patternFill>
      </fill>
    </dxf>
    <dxf>
      <fill>
        <patternFill>
          <bgColor theme="0" tint="-4.9989318521683403E-2"/>
        </patternFill>
      </fill>
    </dxf>
    <dxf>
      <fill>
        <patternFill>
          <bgColor theme="5" tint="0.39994506668294322"/>
        </patternFill>
      </fill>
    </dxf>
    <dxf>
      <font>
        <color rgb="FF960000"/>
      </font>
    </dxf>
    <dxf>
      <protection locked="1" hidden="0"/>
    </dxf>
    <dxf>
      <protection locked="1" hidden="0"/>
    </dxf>
    <dxf>
      <protection locked="1" hidden="0"/>
    </dxf>
    <dxf>
      <numFmt numFmtId="164" formatCode="0.0"/>
      <protection locked="1" hidden="0"/>
    </dxf>
    <dxf>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left" vertical="bottom" textRotation="0" wrapText="0" indent="0" justifyLastLine="0" shrinkToFit="0" readingOrder="0"/>
      <protection locked="0" hidden="0"/>
    </dxf>
    <dxf>
      <numFmt numFmtId="164" formatCode="0.0"/>
      <alignment horizontal="left"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left" vertical="bottom" textRotation="0" wrapText="0" indent="0" justifyLastLine="0" shrinkToFit="0" readingOrder="0"/>
      <protection locked="0" hidden="0"/>
    </dxf>
    <dxf>
      <protection locked="0" hidden="0"/>
    </dxf>
    <dxf>
      <alignment horizontal="left"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left" vertical="bottom" textRotation="0" wrapText="0" indent="0" justifyLastLine="0" shrinkToFit="0" readingOrder="0"/>
      <protection locked="0" hidden="0"/>
    </dxf>
    <dxf>
      <numFmt numFmtId="0" formatCode="General"/>
      <alignment horizontal="left" vertical="bottom" textRotation="0" wrapText="0" indent="0" justifyLastLine="0" shrinkToFit="0" readingOrder="0"/>
      <protection locked="0" hidden="0"/>
    </dxf>
    <dxf>
      <numFmt numFmtId="0" formatCode="General"/>
      <alignment horizontal="left" vertical="bottom" textRotation="0" wrapText="0" indent="0" justifyLastLine="0" shrinkToFit="0" readingOrder="0"/>
      <protection locked="0" hidden="0"/>
    </dxf>
    <dxf>
      <protection locked="0" hidden="0"/>
    </dxf>
    <dxf>
      <border outline="0">
        <bottom style="thin">
          <color rgb="FF000000"/>
        </bottom>
      </border>
    </dxf>
    <dxf>
      <alignment horizontal="left" vertical="bottom" textRotation="0" wrapText="0" indent="0" justifyLastLine="0" shrinkToFit="0" readingOrder="0"/>
      <protection locked="1" hidden="0"/>
    </dxf>
    <dxf>
      <fill>
        <patternFill>
          <bgColor rgb="FFFDEADF"/>
        </patternFill>
      </fill>
    </dxf>
    <dxf>
      <fill>
        <patternFill>
          <bgColor rgb="FFFDEADF"/>
        </patternFill>
      </fill>
    </dxf>
    <dxf>
      <fill>
        <patternFill>
          <bgColor rgb="FFFDEADF"/>
        </patternFill>
      </fill>
    </dxf>
    <dxf>
      <protection locked="1" hidden="0"/>
    </dxf>
    <dxf>
      <protection locked="1" hidden="0"/>
    </dxf>
    <dxf>
      <protection locked="1" hidden="0"/>
    </dxf>
    <dxf>
      <numFmt numFmtId="164" formatCode="0.0"/>
      <protection locked="1" hidden="0"/>
    </dxf>
    <dxf>
      <alignment horizontal="left"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left" vertical="bottom" textRotation="0" wrapText="0" indent="0" justifyLastLine="0" shrinkToFit="0" readingOrder="0"/>
      <protection locked="0" hidden="0"/>
    </dxf>
    <dxf>
      <numFmt numFmtId="164" formatCode="0.0"/>
      <alignment horizontal="left"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0" formatCode="General"/>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left"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left"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numFmt numFmtId="164" formatCode="0.0"/>
      <alignment horizontal="center" vertical="bottom" textRotation="0" wrapText="0" indent="0" justifyLastLine="0" shrinkToFit="0" readingOrder="0"/>
      <protection locked="0" hidden="0"/>
    </dxf>
    <dxf>
      <alignment horizontal="left" vertical="bottom" textRotation="0" wrapText="0" indent="0" justifyLastLine="0" shrinkToFit="0" readingOrder="0"/>
      <protection locked="0" hidden="0"/>
    </dxf>
    <dxf>
      <alignment horizontal="left" vertical="bottom" textRotation="0" wrapText="0" indent="0" justifyLastLine="0" shrinkToFit="0" readingOrder="0"/>
      <protection locked="0" hidden="0"/>
    </dxf>
    <dxf>
      <alignment horizontal="left" vertical="bottom" textRotation="0" wrapText="0" indent="0" justifyLastLine="0" shrinkToFit="0" readingOrder="0"/>
      <protection locked="0" hidden="0"/>
    </dxf>
    <dxf>
      <protection locked="0" hidden="0"/>
    </dxf>
    <dxf>
      <border outline="0">
        <bottom style="thin">
          <color rgb="FF000000"/>
        </bottom>
      </border>
    </dxf>
    <dxf>
      <alignment horizontal="left" vertical="bottom" textRotation="0" wrapText="0" indent="0" justifyLastLine="0" shrinkToFit="0" readingOrder="0"/>
      <protection locked="1" hidden="0"/>
    </dxf>
    <dxf>
      <fill>
        <patternFill>
          <bgColor rgb="FFFDEADF"/>
        </patternFill>
      </fill>
    </dxf>
    <dxf>
      <fill>
        <patternFill>
          <bgColor rgb="FFFDEADF"/>
        </patternFill>
      </fill>
    </dxf>
    <dxf>
      <fill>
        <patternFill>
          <bgColor rgb="FFFDEADF"/>
        </patternFill>
      </fill>
    </dxf>
    <dxf>
      <numFmt numFmtId="0" formatCode="General"/>
      <alignment horizontal="center" vertical="bottom" textRotation="0" wrapText="0" indent="0" justifyLastLine="0" shrinkToFit="0" readingOrder="0"/>
      <protection locked="1" hidden="0"/>
    </dxf>
    <dxf>
      <protection locked="1" hidden="0"/>
    </dxf>
    <dxf>
      <numFmt numFmtId="2" formatCode="0.00"/>
      <alignment horizontal="center" vertical="bottom" textRotation="0" wrapText="0" indent="0" justifyLastLine="0" shrinkToFit="0" readingOrder="0"/>
      <protection locked="1" hidden="0"/>
    </dxf>
    <dxf>
      <protection locked="1" hidden="0"/>
    </dxf>
    <dxf>
      <protection locked="1" hidden="0"/>
    </dxf>
    <dxf>
      <protection locked="1" hidden="0"/>
    </dxf>
    <dxf>
      <numFmt numFmtId="2" formatCode="0.00"/>
      <alignment horizontal="center" vertical="bottom" textRotation="0" wrapText="0" indent="0" justifyLastLine="0" shrinkToFit="0" readingOrder="0"/>
      <protection locked="1" hidden="0"/>
    </dxf>
    <dxf>
      <numFmt numFmtId="2" formatCode="0.00"/>
      <alignment horizontal="center" vertical="bottom" textRotation="0" wrapText="0" indent="0" justifyLastLine="0" shrinkToFit="0" readingOrder="0"/>
      <protection locked="1" hidden="0"/>
    </dxf>
    <dxf>
      <numFmt numFmtId="2" formatCode="0.00"/>
      <alignment horizontal="center" vertical="bottom" textRotation="0" wrapText="0" indent="0" justifyLastLine="0" shrinkToFit="0" readingOrder="0"/>
      <protection locked="1" hidden="0"/>
    </dxf>
    <dxf>
      <numFmt numFmtId="2" formatCode="0.00"/>
      <alignment horizontal="center" vertical="bottom" textRotation="0" wrapText="0" indent="0" justifyLastLine="0" shrinkToFit="0" readingOrder="0"/>
      <protection locked="1" hidden="0"/>
    </dxf>
    <dxf>
      <numFmt numFmtId="2" formatCode="0.00"/>
      <alignment horizontal="center" vertical="bottom" textRotation="0" wrapText="0" indent="0" justifyLastLine="0" shrinkToFit="0" readingOrder="0"/>
      <protection locked="1" hidden="0"/>
    </dxf>
    <dxf>
      <numFmt numFmtId="2" formatCode="0.00"/>
      <alignment horizontal="center" vertical="bottom" textRotation="0" wrapText="0" indent="0" justifyLastLine="0" shrinkToFit="0" readingOrder="0"/>
      <protection locked="1" hidden="0"/>
    </dxf>
    <dxf>
      <font>
        <b/>
        <i val="0"/>
        <strike val="0"/>
        <condense val="0"/>
        <extend val="0"/>
        <outline val="0"/>
        <shadow val="0"/>
        <u val="none"/>
        <vertAlign val="baseline"/>
        <sz val="11"/>
        <color theme="1"/>
        <name val="Calibri"/>
        <scheme val="minor"/>
      </font>
    </dxf>
    <dxf>
      <numFmt numFmtId="2" formatCode="0.00"/>
      <alignment horizontal="center" vertical="bottom" textRotation="0" wrapText="0" indent="0" justifyLastLine="0" shrinkToFit="0" readingOrder="0"/>
      <protection locked="1" hidden="0"/>
    </dxf>
    <dxf>
      <numFmt numFmtId="2" formatCode="0.00"/>
      <alignment horizontal="center" vertical="bottom" textRotation="0" wrapText="0" indent="0" justifyLastLine="0" shrinkToFit="0" readingOrder="0"/>
      <protection locked="1" hidden="0"/>
    </dxf>
    <dxf>
      <numFmt numFmtId="2" formatCode="0.00"/>
      <alignment horizontal="center" vertical="bottom" textRotation="0" wrapText="0" indent="0" justifyLastLine="0" shrinkToFit="0" readingOrder="0"/>
      <protection locked="1" hidden="0"/>
    </dxf>
    <dxf>
      <font>
        <b/>
        <i val="0"/>
        <strike val="0"/>
        <condense val="0"/>
        <extend val="0"/>
        <outline val="0"/>
        <shadow val="0"/>
        <u val="none"/>
        <vertAlign val="baseline"/>
        <sz val="11"/>
        <color theme="1"/>
        <name val="Calibri"/>
        <scheme val="minor"/>
      </font>
      <numFmt numFmtId="164" formatCode="0.0"/>
      <fill>
        <patternFill patternType="none">
          <fgColor indexed="64"/>
          <bgColor indexed="65"/>
        </patternFill>
      </fill>
      <protection locked="1" hidden="0"/>
    </dxf>
    <dxf>
      <alignment horizontal="center" vertical="bottom" textRotation="0" wrapText="0" indent="0" justifyLastLine="0" shrinkToFit="0" readingOrder="0"/>
      <protection locked="1" hidden="0"/>
    </dxf>
    <dxf>
      <protection locked="1" hidden="0"/>
    </dxf>
    <dxf>
      <fill>
        <patternFill>
          <bgColor theme="0" tint="-0.499984740745262"/>
        </patternFill>
      </fill>
    </dxf>
    <dxf>
      <fill>
        <patternFill>
          <bgColor theme="0" tint="-0.14996795556505021"/>
        </patternFill>
      </fill>
    </dxf>
    <dxf>
      <fill>
        <patternFill>
          <bgColor theme="0" tint="-0.14996795556505021"/>
        </patternFill>
      </fill>
    </dxf>
    <dxf>
      <fill>
        <patternFill>
          <bgColor theme="0" tint="-0.499984740745262"/>
        </patternFill>
      </fill>
    </dxf>
    <dxf>
      <fill>
        <patternFill>
          <bgColor theme="0" tint="-0.499984740745262"/>
        </patternFill>
      </fill>
    </dxf>
    <dxf>
      <fill>
        <patternFill patternType="solid">
          <fgColor auto="1"/>
          <bgColor theme="0" tint="-0.14996795556505021"/>
        </patternFill>
      </fill>
    </dxf>
    <dxf>
      <numFmt numFmtId="2" formatCode="0.00"/>
      <fill>
        <patternFill>
          <bgColor theme="1" tint="0.499984740745262"/>
        </patternFill>
      </fill>
    </dxf>
    <dxf>
      <fill>
        <patternFill>
          <bgColor theme="0" tint="-0.499984740745262"/>
        </patternFill>
      </fill>
    </dxf>
    <dxf>
      <fill>
        <patternFill>
          <bgColor theme="0" tint="-0.499984740745262"/>
        </patternFill>
      </fill>
    </dxf>
    <dxf>
      <font>
        <color rgb="FF960000"/>
      </font>
    </dxf>
    <dxf>
      <fill>
        <patternFill>
          <bgColor theme="0" tint="-0.499984740745262"/>
        </patternFill>
      </fill>
    </dxf>
    <dxf>
      <fill>
        <patternFill>
          <bgColor theme="0" tint="-0.499984740745262"/>
        </patternFill>
      </fill>
    </dxf>
    <dxf>
      <fill>
        <patternFill patternType="none">
          <bgColor auto="1"/>
        </patternFill>
      </fill>
      <border>
        <left style="thin">
          <color rgb="FFFF0000"/>
        </left>
        <right style="thin">
          <color rgb="FFFF0000"/>
        </right>
        <top style="thin">
          <color rgb="FFFF0000"/>
        </top>
        <bottom style="thin">
          <color rgb="FFFF0000"/>
        </bottom>
      </border>
    </dxf>
    <dxf>
      <fill>
        <patternFill patternType="solid">
          <bgColor theme="0" tint="-4.9989318521683403E-2"/>
        </patternFill>
      </fill>
    </dxf>
    <dxf>
      <fill>
        <patternFill>
          <bgColor theme="5" tint="0.39994506668294322"/>
        </patternFill>
      </fill>
    </dxf>
    <dxf>
      <fill>
        <patternFill>
          <bgColor theme="3" tint="0.59996337778862885"/>
        </patternFill>
      </fill>
    </dxf>
    <dxf>
      <fill>
        <patternFill>
          <bgColor theme="7" tint="0.39994506668294322"/>
        </patternFill>
      </fill>
    </dxf>
    <dxf>
      <fill>
        <patternFill>
          <bgColor theme="0" tint="-4.9989318521683403E-2"/>
        </patternFill>
      </fill>
    </dxf>
    <dxf>
      <fill>
        <patternFill>
          <bgColor theme="7" tint="0.39994506668294322"/>
        </patternFill>
      </fill>
    </dxf>
    <dxf>
      <fill>
        <patternFill>
          <bgColor theme="3" tint="0.59996337778862885"/>
        </patternFill>
      </fill>
    </dxf>
    <dxf>
      <fill>
        <patternFill>
          <bgColor rgb="FFFF0000"/>
        </patternFill>
      </fill>
    </dxf>
    <dxf>
      <fill>
        <patternFill patternType="solid">
          <fgColor theme="6" tint="0.79985961485641044"/>
          <bgColor rgb="FFF7F7F7"/>
        </patternFill>
      </fill>
    </dxf>
    <dxf>
      <fill>
        <patternFill patternType="solid">
          <fgColor theme="6" tint="0.79992065187536243"/>
          <bgColor rgb="FFF7F7F7"/>
        </patternFill>
      </fill>
    </dxf>
    <dxf>
      <font>
        <b/>
        <color theme="1"/>
      </font>
    </dxf>
    <dxf>
      <font>
        <b/>
        <color theme="1"/>
      </font>
    </dxf>
    <dxf>
      <font>
        <b/>
        <color theme="1"/>
      </font>
      <border>
        <top style="double">
          <color theme="6"/>
        </top>
      </border>
    </dxf>
    <dxf>
      <font>
        <b/>
        <i val="0"/>
        <color theme="1"/>
      </font>
      <border>
        <bottom style="medium">
          <color theme="6"/>
        </bottom>
      </border>
    </dxf>
    <dxf>
      <font>
        <color theme="1"/>
      </font>
      <border>
        <left style="thin">
          <color theme="6"/>
        </left>
        <right style="thin">
          <color theme="6"/>
        </right>
        <top style="thin">
          <color theme="6"/>
        </top>
        <bottom style="thin">
          <color theme="6"/>
        </bottom>
        <vertical style="thin">
          <color theme="6"/>
        </vertical>
        <horizontal style="thin">
          <color theme="6"/>
        </horizontal>
      </border>
    </dxf>
  </dxfs>
  <tableStyles count="1" defaultTableStyle="TableStyleMedium2" defaultPivotStyle="PivotStyleLight16">
    <tableStyle name="TableStyleLight18 2" pivot="0" count="7">
      <tableStyleElement type="wholeTable" dxfId="165"/>
      <tableStyleElement type="headerRow" dxfId="164"/>
      <tableStyleElement type="totalRow" dxfId="163"/>
      <tableStyleElement type="firstColumn" dxfId="162"/>
      <tableStyleElement type="lastColumn" dxfId="161"/>
      <tableStyleElement type="firstRowStripe" dxfId="160"/>
      <tableStyleElement type="firstColumnStripe" dxfId="159"/>
    </tableStyle>
  </tableStyles>
  <colors>
    <mruColors>
      <color rgb="FFFFEEB7"/>
      <color rgb="FFFFF0BE"/>
      <color rgb="FFCDE1F0"/>
      <color rgb="FFE8EEF8"/>
      <color rgb="FFFFFFB4"/>
      <color rgb="FFBEBE96"/>
      <color rgb="FFB4B48C"/>
      <color rgb="FFAEAD7F"/>
      <color rgb="FF9C9C64"/>
      <color rgb="FFFFFFC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0" Type="http://schemas.openxmlformats.org/officeDocument/2006/relationships/image" Target="../media/image10.jp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21.jpg"/><Relationship Id="rId3" Type="http://schemas.openxmlformats.org/officeDocument/2006/relationships/image" Target="../media/image16.jpg"/><Relationship Id="rId7" Type="http://schemas.openxmlformats.org/officeDocument/2006/relationships/image" Target="../media/image20.jpg"/><Relationship Id="rId2" Type="http://schemas.openxmlformats.org/officeDocument/2006/relationships/image" Target="../media/image15.jpg"/><Relationship Id="rId1" Type="http://schemas.openxmlformats.org/officeDocument/2006/relationships/image" Target="../media/image14.jpg"/><Relationship Id="rId6" Type="http://schemas.openxmlformats.org/officeDocument/2006/relationships/image" Target="../media/image19.jpg"/><Relationship Id="rId5" Type="http://schemas.openxmlformats.org/officeDocument/2006/relationships/image" Target="../media/image18.jpg"/><Relationship Id="rId4" Type="http://schemas.openxmlformats.org/officeDocument/2006/relationships/image" Target="../media/image17.jpg"/></Relationships>
</file>

<file path=xl/drawings/_rels/drawing5.xml.rels><?xml version="1.0" encoding="UTF-8" standalone="yes"?>
<Relationships xmlns="http://schemas.openxmlformats.org/package/2006/relationships"><Relationship Id="rId1"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twoCellAnchor>
    <xdr:from>
      <xdr:col>6</xdr:col>
      <xdr:colOff>13404</xdr:colOff>
      <xdr:row>4</xdr:row>
      <xdr:rowOff>11913</xdr:rowOff>
    </xdr:from>
    <xdr:to>
      <xdr:col>6</xdr:col>
      <xdr:colOff>978204</xdr:colOff>
      <xdr:row>8</xdr:row>
      <xdr:rowOff>182313</xdr:rowOff>
    </xdr:to>
    <xdr:pic>
      <xdr:nvPicPr>
        <xdr:cNvPr id="7" name="Obrázek 6"/>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14279" y="812013"/>
          <a:ext cx="964800" cy="932400"/>
        </a:xfrm>
        <a:prstGeom prst="rect">
          <a:avLst/>
        </a:prstGeom>
      </xdr:spPr>
    </xdr:pic>
    <xdr:clientData/>
  </xdr:twoCellAnchor>
  <xdr:twoCellAnchor>
    <xdr:from>
      <xdr:col>7</xdr:col>
      <xdr:colOff>9524</xdr:colOff>
      <xdr:row>4</xdr:row>
      <xdr:rowOff>16196</xdr:rowOff>
    </xdr:from>
    <xdr:to>
      <xdr:col>7</xdr:col>
      <xdr:colOff>974324</xdr:colOff>
      <xdr:row>8</xdr:row>
      <xdr:rowOff>186596</xdr:rowOff>
    </xdr:to>
    <xdr:pic>
      <xdr:nvPicPr>
        <xdr:cNvPr id="9" name="Obrázek 8"/>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91474" y="816296"/>
          <a:ext cx="964800" cy="932400"/>
        </a:xfrm>
        <a:prstGeom prst="rect">
          <a:avLst/>
        </a:prstGeom>
      </xdr:spPr>
    </xdr:pic>
    <xdr:clientData/>
  </xdr:twoCellAnchor>
  <xdr:twoCellAnchor>
    <xdr:from>
      <xdr:col>8</xdr:col>
      <xdr:colOff>11225</xdr:colOff>
      <xdr:row>4</xdr:row>
      <xdr:rowOff>14207</xdr:rowOff>
    </xdr:from>
    <xdr:to>
      <xdr:col>8</xdr:col>
      <xdr:colOff>976025</xdr:colOff>
      <xdr:row>8</xdr:row>
      <xdr:rowOff>184607</xdr:rowOff>
    </xdr:to>
    <xdr:pic>
      <xdr:nvPicPr>
        <xdr:cNvPr id="10" name="Obrázek 9"/>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74250" y="814307"/>
          <a:ext cx="964800" cy="932400"/>
        </a:xfrm>
        <a:prstGeom prst="rect">
          <a:avLst/>
        </a:prstGeom>
      </xdr:spPr>
    </xdr:pic>
    <xdr:clientData/>
  </xdr:twoCellAnchor>
  <xdr:twoCellAnchor>
    <xdr:from>
      <xdr:col>9</xdr:col>
      <xdr:colOff>10715</xdr:colOff>
      <xdr:row>4</xdr:row>
      <xdr:rowOff>16295</xdr:rowOff>
    </xdr:from>
    <xdr:to>
      <xdr:col>9</xdr:col>
      <xdr:colOff>975515</xdr:colOff>
      <xdr:row>8</xdr:row>
      <xdr:rowOff>186695</xdr:rowOff>
    </xdr:to>
    <xdr:pic>
      <xdr:nvPicPr>
        <xdr:cNvPr id="11" name="Obrázek 10"/>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954815" y="816395"/>
          <a:ext cx="964800" cy="932400"/>
        </a:xfrm>
        <a:prstGeom prst="rect">
          <a:avLst/>
        </a:prstGeom>
      </xdr:spPr>
    </xdr:pic>
    <xdr:clientData/>
  </xdr:twoCellAnchor>
  <xdr:twoCellAnchor>
    <xdr:from>
      <xdr:col>10</xdr:col>
      <xdr:colOff>8753</xdr:colOff>
      <xdr:row>4</xdr:row>
      <xdr:rowOff>14118</xdr:rowOff>
    </xdr:from>
    <xdr:to>
      <xdr:col>10</xdr:col>
      <xdr:colOff>973553</xdr:colOff>
      <xdr:row>8</xdr:row>
      <xdr:rowOff>184518</xdr:rowOff>
    </xdr:to>
    <xdr:pic>
      <xdr:nvPicPr>
        <xdr:cNvPr id="12" name="Obrázek 11"/>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933928" y="814218"/>
          <a:ext cx="964800" cy="932400"/>
        </a:xfrm>
        <a:prstGeom prst="rect">
          <a:avLst/>
        </a:prstGeom>
      </xdr:spPr>
    </xdr:pic>
    <xdr:clientData/>
  </xdr:twoCellAnchor>
  <xdr:twoCellAnchor>
    <xdr:from>
      <xdr:col>11</xdr:col>
      <xdr:colOff>7143</xdr:colOff>
      <xdr:row>4</xdr:row>
      <xdr:rowOff>16196</xdr:rowOff>
    </xdr:from>
    <xdr:to>
      <xdr:col>11</xdr:col>
      <xdr:colOff>971943</xdr:colOff>
      <xdr:row>8</xdr:row>
      <xdr:rowOff>186596</xdr:rowOff>
    </xdr:to>
    <xdr:pic>
      <xdr:nvPicPr>
        <xdr:cNvPr id="13" name="Obrázek 12"/>
        <xdr:cNvPicPr>
          <a:picLocks/>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913393" y="816296"/>
          <a:ext cx="964800" cy="932400"/>
        </a:xfrm>
        <a:prstGeom prst="rect">
          <a:avLst/>
        </a:prstGeom>
      </xdr:spPr>
    </xdr:pic>
    <xdr:clientData/>
  </xdr:twoCellAnchor>
  <xdr:twoCellAnchor>
    <xdr:from>
      <xdr:col>12</xdr:col>
      <xdr:colOff>12987</xdr:colOff>
      <xdr:row>4</xdr:row>
      <xdr:rowOff>12120</xdr:rowOff>
    </xdr:from>
    <xdr:to>
      <xdr:col>12</xdr:col>
      <xdr:colOff>977787</xdr:colOff>
      <xdr:row>8</xdr:row>
      <xdr:rowOff>182520</xdr:rowOff>
    </xdr:to>
    <xdr:pic>
      <xdr:nvPicPr>
        <xdr:cNvPr id="14" name="Obrázek 13"/>
        <xdr:cNvPicPr>
          <a:picLocks/>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900312" y="812220"/>
          <a:ext cx="964800" cy="932400"/>
        </a:xfrm>
        <a:prstGeom prst="rect">
          <a:avLst/>
        </a:prstGeom>
      </xdr:spPr>
    </xdr:pic>
    <xdr:clientData/>
  </xdr:twoCellAnchor>
  <xdr:twoCellAnchor>
    <xdr:from>
      <xdr:col>13</xdr:col>
      <xdr:colOff>13099</xdr:colOff>
      <xdr:row>4</xdr:row>
      <xdr:rowOff>18385</xdr:rowOff>
    </xdr:from>
    <xdr:to>
      <xdr:col>13</xdr:col>
      <xdr:colOff>977899</xdr:colOff>
      <xdr:row>8</xdr:row>
      <xdr:rowOff>188785</xdr:rowOff>
    </xdr:to>
    <xdr:pic>
      <xdr:nvPicPr>
        <xdr:cNvPr id="15" name="Obrázek 14"/>
        <xdr:cNvPicPr>
          <a:picLocks/>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881499" y="818485"/>
          <a:ext cx="964800" cy="932400"/>
        </a:xfrm>
        <a:prstGeom prst="rect">
          <a:avLst/>
        </a:prstGeom>
      </xdr:spPr>
    </xdr:pic>
    <xdr:clientData/>
  </xdr:twoCellAnchor>
  <xdr:twoCellAnchor>
    <xdr:from>
      <xdr:col>14</xdr:col>
      <xdr:colOff>10482</xdr:colOff>
      <xdr:row>4</xdr:row>
      <xdr:rowOff>57150</xdr:rowOff>
    </xdr:from>
    <xdr:to>
      <xdr:col>14</xdr:col>
      <xdr:colOff>975282</xdr:colOff>
      <xdr:row>8</xdr:row>
      <xdr:rowOff>150885</xdr:rowOff>
    </xdr:to>
    <xdr:pic>
      <xdr:nvPicPr>
        <xdr:cNvPr id="16" name="Obrázek 15"/>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859957" y="857250"/>
          <a:ext cx="964800" cy="855735"/>
        </a:xfrm>
        <a:prstGeom prst="rect">
          <a:avLst/>
        </a:prstGeom>
      </xdr:spPr>
    </xdr:pic>
    <xdr:clientData/>
  </xdr:twoCellAnchor>
  <xdr:twoCellAnchor>
    <xdr:from>
      <xdr:col>15</xdr:col>
      <xdr:colOff>11904</xdr:colOff>
      <xdr:row>4</xdr:row>
      <xdr:rowOff>57618</xdr:rowOff>
    </xdr:from>
    <xdr:to>
      <xdr:col>15</xdr:col>
      <xdr:colOff>976704</xdr:colOff>
      <xdr:row>8</xdr:row>
      <xdr:rowOff>151353</xdr:rowOff>
    </xdr:to>
    <xdr:pic>
      <xdr:nvPicPr>
        <xdr:cNvPr id="17" name="Obrázek 16"/>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842454" y="857718"/>
          <a:ext cx="964800" cy="855735"/>
        </a:xfrm>
        <a:prstGeom prst="rect">
          <a:avLst/>
        </a:prstGeom>
      </xdr:spPr>
    </xdr:pic>
    <xdr:clientData/>
  </xdr:twoCellAnchor>
  <xdr:twoCellAnchor>
    <xdr:from>
      <xdr:col>16</xdr:col>
      <xdr:colOff>15477</xdr:colOff>
      <xdr:row>4</xdr:row>
      <xdr:rowOff>57618</xdr:rowOff>
    </xdr:from>
    <xdr:to>
      <xdr:col>16</xdr:col>
      <xdr:colOff>980277</xdr:colOff>
      <xdr:row>8</xdr:row>
      <xdr:rowOff>151353</xdr:rowOff>
    </xdr:to>
    <xdr:pic>
      <xdr:nvPicPr>
        <xdr:cNvPr id="19" name="Obrázek 18"/>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827102" y="857718"/>
          <a:ext cx="964800" cy="855735"/>
        </a:xfrm>
        <a:prstGeom prst="rect">
          <a:avLst/>
        </a:prstGeom>
      </xdr:spPr>
    </xdr:pic>
    <xdr:clientData/>
  </xdr:twoCellAnchor>
  <xdr:twoCellAnchor editAs="oneCell">
    <xdr:from>
      <xdr:col>19</xdr:col>
      <xdr:colOff>34519</xdr:colOff>
      <xdr:row>4</xdr:row>
      <xdr:rowOff>9759</xdr:rowOff>
    </xdr:from>
    <xdr:to>
      <xdr:col>19</xdr:col>
      <xdr:colOff>952500</xdr:colOff>
      <xdr:row>8</xdr:row>
      <xdr:rowOff>175978</xdr:rowOff>
    </xdr:to>
    <xdr:pic>
      <xdr:nvPicPr>
        <xdr:cNvPr id="5" name="Obrázek 4"/>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789369" y="809859"/>
          <a:ext cx="917981" cy="928219"/>
        </a:xfrm>
        <a:prstGeom prst="rect">
          <a:avLst/>
        </a:prstGeom>
      </xdr:spPr>
    </xdr:pic>
    <xdr:clientData/>
  </xdr:twoCellAnchor>
  <xdr:twoCellAnchor editAs="oneCell">
    <xdr:from>
      <xdr:col>5</xdr:col>
      <xdr:colOff>19917</xdr:colOff>
      <xdr:row>30</xdr:row>
      <xdr:rowOff>9525</xdr:rowOff>
    </xdr:from>
    <xdr:to>
      <xdr:col>13</xdr:col>
      <xdr:colOff>345821</xdr:colOff>
      <xdr:row>84</xdr:row>
      <xdr:rowOff>142875</xdr:rowOff>
    </xdr:to>
    <xdr:pic>
      <xdr:nvPicPr>
        <xdr:cNvPr id="2" name="Tormek_Img"/>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715867" y="4619625"/>
          <a:ext cx="8555504" cy="10039350"/>
        </a:xfrm>
        <a:prstGeom prst="rect">
          <a:avLst/>
        </a:prstGeom>
        <a:noFill/>
      </xdr:spPr>
    </xdr:pic>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6</xdr:col>
      <xdr:colOff>9525</xdr:colOff>
      <xdr:row>1</xdr:row>
      <xdr:rowOff>19050</xdr:rowOff>
    </xdr:from>
    <xdr:to>
      <xdr:col>18</xdr:col>
      <xdr:colOff>466724</xdr:colOff>
      <xdr:row>62</xdr:row>
      <xdr:rowOff>176450</xdr:rowOff>
    </xdr:to>
    <xdr:pic>
      <xdr:nvPicPr>
        <xdr:cNvPr id="2" name="Tormek_Im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48400" y="209550"/>
          <a:ext cx="7772399" cy="9120425"/>
        </a:xfrm>
        <a:prstGeom prst="rect">
          <a:avLst/>
        </a:prstGeom>
      </xdr:spPr>
    </xdr:pic>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9524</xdr:colOff>
      <xdr:row>1</xdr:row>
      <xdr:rowOff>20406</xdr:rowOff>
    </xdr:from>
    <xdr:to>
      <xdr:col>19</xdr:col>
      <xdr:colOff>587924</xdr:colOff>
      <xdr:row>77</xdr:row>
      <xdr:rowOff>126730</xdr:rowOff>
    </xdr:to>
    <xdr:grpSp>
      <xdr:nvGrpSpPr>
        <xdr:cNvPr id="4" name="Skupina 3"/>
        <xdr:cNvGrpSpPr>
          <a:grpSpLocks noChangeAspect="1"/>
        </xdr:cNvGrpSpPr>
      </xdr:nvGrpSpPr>
      <xdr:grpSpPr>
        <a:xfrm>
          <a:off x="7096124" y="210906"/>
          <a:ext cx="8503200" cy="13260349"/>
          <a:chOff x="7096125" y="210907"/>
          <a:chExt cx="7781925" cy="12137543"/>
        </a:xfrm>
      </xdr:grpSpPr>
      <xdr:pic>
        <xdr:nvPicPr>
          <xdr:cNvPr id="2" name="Obráze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05650" y="210907"/>
            <a:ext cx="7772400" cy="4035981"/>
          </a:xfrm>
          <a:prstGeom prst="rect">
            <a:avLst/>
          </a:prstGeom>
        </xdr:spPr>
      </xdr:pic>
      <xdr:pic>
        <xdr:nvPicPr>
          <xdr:cNvPr id="3" name="Obrázek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96125" y="4248151"/>
            <a:ext cx="7772400" cy="8100299"/>
          </a:xfrm>
          <a:prstGeom prst="rect">
            <a:avLst/>
          </a:prstGeom>
        </xdr:spPr>
      </xdr:pic>
    </xdr:grpSp>
    <xdr:clientData fPrintsWithSheet="0"/>
  </xdr:twoCellAnchor>
</xdr:wsDr>
</file>

<file path=xl/drawings/drawing4.xml><?xml version="1.0" encoding="utf-8"?>
<xdr:wsDr xmlns:xdr="http://schemas.openxmlformats.org/drawingml/2006/spreadsheetDrawing" xmlns:a="http://schemas.openxmlformats.org/drawingml/2006/main">
  <xdr:twoCellAnchor>
    <xdr:from>
      <xdr:col>2</xdr:col>
      <xdr:colOff>9572</xdr:colOff>
      <xdr:row>5</xdr:row>
      <xdr:rowOff>28577</xdr:rowOff>
    </xdr:from>
    <xdr:to>
      <xdr:col>2</xdr:col>
      <xdr:colOff>1445878</xdr:colOff>
      <xdr:row>9</xdr:row>
      <xdr:rowOff>188138</xdr:rowOff>
    </xdr:to>
    <xdr:pic>
      <xdr:nvPicPr>
        <xdr:cNvPr id="2" name="Obráze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2022" y="990602"/>
          <a:ext cx="1436306" cy="921561"/>
        </a:xfrm>
        <a:prstGeom prst="rect">
          <a:avLst/>
        </a:prstGeom>
        <a:solidFill>
          <a:schemeClr val="bg1"/>
        </a:solidFill>
      </xdr:spPr>
    </xdr:pic>
    <xdr:clientData/>
  </xdr:twoCellAnchor>
  <xdr:twoCellAnchor editAs="oneCell">
    <xdr:from>
      <xdr:col>2</xdr:col>
      <xdr:colOff>11168</xdr:colOff>
      <xdr:row>17</xdr:row>
      <xdr:rowOff>42861</xdr:rowOff>
    </xdr:from>
    <xdr:to>
      <xdr:col>2</xdr:col>
      <xdr:colOff>1444281</xdr:colOff>
      <xdr:row>21</xdr:row>
      <xdr:rowOff>182269</xdr:rowOff>
    </xdr:to>
    <xdr:pic>
      <xdr:nvPicPr>
        <xdr:cNvPr id="38" name="Obrázek 37"/>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3618" y="3290886"/>
          <a:ext cx="1433113" cy="901408"/>
        </a:xfrm>
        <a:prstGeom prst="rect">
          <a:avLst/>
        </a:prstGeom>
        <a:solidFill>
          <a:schemeClr val="bg1"/>
        </a:solidFill>
      </xdr:spPr>
    </xdr:pic>
    <xdr:clientData/>
  </xdr:twoCellAnchor>
  <xdr:twoCellAnchor editAs="oneCell">
    <xdr:from>
      <xdr:col>2</xdr:col>
      <xdr:colOff>9525</xdr:colOff>
      <xdr:row>23</xdr:row>
      <xdr:rowOff>1487</xdr:rowOff>
    </xdr:from>
    <xdr:to>
      <xdr:col>2</xdr:col>
      <xdr:colOff>1445925</xdr:colOff>
      <xdr:row>27</xdr:row>
      <xdr:rowOff>132047</xdr:rowOff>
    </xdr:to>
    <xdr:pic>
      <xdr:nvPicPr>
        <xdr:cNvPr id="4" name="Obrázek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61975" y="4392512"/>
          <a:ext cx="1436400" cy="892560"/>
        </a:xfrm>
        <a:prstGeom prst="rect">
          <a:avLst/>
        </a:prstGeom>
        <a:solidFill>
          <a:schemeClr val="bg1"/>
        </a:solidFill>
      </xdr:spPr>
    </xdr:pic>
    <xdr:clientData/>
  </xdr:twoCellAnchor>
  <xdr:twoCellAnchor>
    <xdr:from>
      <xdr:col>2</xdr:col>
      <xdr:colOff>9901</xdr:colOff>
      <xdr:row>11</xdr:row>
      <xdr:rowOff>28575</xdr:rowOff>
    </xdr:from>
    <xdr:to>
      <xdr:col>2</xdr:col>
      <xdr:colOff>1445549</xdr:colOff>
      <xdr:row>15</xdr:row>
      <xdr:rowOff>186222</xdr:rowOff>
    </xdr:to>
    <xdr:pic>
      <xdr:nvPicPr>
        <xdr:cNvPr id="8" name="Obrázek 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2351" y="2133600"/>
          <a:ext cx="1435648" cy="919647"/>
        </a:xfrm>
        <a:prstGeom prst="rect">
          <a:avLst/>
        </a:prstGeom>
        <a:solidFill>
          <a:schemeClr val="bg1"/>
        </a:solidFill>
      </xdr:spPr>
    </xdr:pic>
    <xdr:clientData/>
  </xdr:twoCellAnchor>
  <xdr:oneCellAnchor>
    <xdr:from>
      <xdr:col>2</xdr:col>
      <xdr:colOff>9525</xdr:colOff>
      <xdr:row>41</xdr:row>
      <xdr:rowOff>33780</xdr:rowOff>
    </xdr:from>
    <xdr:ext cx="1436400" cy="1465459"/>
    <xdr:pic>
      <xdr:nvPicPr>
        <xdr:cNvPr id="11" name="Obrázek 10"/>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61975" y="7853805"/>
          <a:ext cx="1436400" cy="1465459"/>
        </a:xfrm>
        <a:prstGeom prst="rect">
          <a:avLst/>
        </a:prstGeom>
        <a:solidFill>
          <a:schemeClr val="bg1"/>
        </a:solidFill>
      </xdr:spPr>
    </xdr:pic>
    <xdr:clientData/>
  </xdr:oneCellAnchor>
  <xdr:twoCellAnchor editAs="oneCell">
    <xdr:from>
      <xdr:col>3</xdr:col>
      <xdr:colOff>9524</xdr:colOff>
      <xdr:row>42</xdr:row>
      <xdr:rowOff>30049</xdr:rowOff>
    </xdr:from>
    <xdr:to>
      <xdr:col>3</xdr:col>
      <xdr:colOff>1176152</xdr:colOff>
      <xdr:row>48</xdr:row>
      <xdr:rowOff>103498</xdr:rowOff>
    </xdr:to>
    <xdr:pic>
      <xdr:nvPicPr>
        <xdr:cNvPr id="3" name="Obrázek 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19299" y="8040574"/>
          <a:ext cx="1166628" cy="1216449"/>
        </a:xfrm>
        <a:prstGeom prst="rect">
          <a:avLst/>
        </a:prstGeom>
        <a:solidFill>
          <a:schemeClr val="bg1"/>
        </a:solidFill>
      </xdr:spPr>
    </xdr:pic>
    <xdr:clientData/>
  </xdr:twoCellAnchor>
  <xdr:oneCellAnchor>
    <xdr:from>
      <xdr:col>2</xdr:col>
      <xdr:colOff>10371</xdr:colOff>
      <xdr:row>68</xdr:row>
      <xdr:rowOff>19050</xdr:rowOff>
    </xdr:from>
    <xdr:ext cx="1434707" cy="1368171"/>
    <xdr:pic>
      <xdr:nvPicPr>
        <xdr:cNvPr id="15" name="Obrázek 14"/>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62821" y="12982575"/>
          <a:ext cx="1434707" cy="1368171"/>
        </a:xfrm>
        <a:prstGeom prst="rect">
          <a:avLst/>
        </a:prstGeom>
        <a:solidFill>
          <a:schemeClr val="bg1"/>
        </a:solidFill>
      </xdr:spPr>
    </xdr:pic>
    <xdr:clientData/>
  </xdr:oneCellAnchor>
  <xdr:oneCellAnchor>
    <xdr:from>
      <xdr:col>3</xdr:col>
      <xdr:colOff>9524</xdr:colOff>
      <xdr:row>69</xdr:row>
      <xdr:rowOff>19507</xdr:rowOff>
    </xdr:from>
    <xdr:ext cx="1171575" cy="1275437"/>
    <xdr:pic>
      <xdr:nvPicPr>
        <xdr:cNvPr id="16" name="Obrázek 15"/>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19299" y="13173532"/>
          <a:ext cx="1171575" cy="1275437"/>
        </a:xfrm>
        <a:prstGeom prst="rect">
          <a:avLst/>
        </a:prstGeom>
        <a:solidFill>
          <a:schemeClr val="bg1"/>
        </a:solidFill>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11</xdr:col>
      <xdr:colOff>5259</xdr:colOff>
      <xdr:row>29</xdr:row>
      <xdr:rowOff>20010</xdr:rowOff>
    </xdr:from>
    <xdr:to>
      <xdr:col>12</xdr:col>
      <xdr:colOff>1045508</xdr:colOff>
      <xdr:row>40</xdr:row>
      <xdr:rowOff>35796</xdr:rowOff>
    </xdr:to>
    <xdr:pic>
      <xdr:nvPicPr>
        <xdr:cNvPr id="5" name="Obrázek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521109" y="5554035"/>
          <a:ext cx="2087999" cy="2111286"/>
        </a:xfrm>
        <a:prstGeom prst="rect">
          <a:avLst/>
        </a:prstGeom>
      </xdr:spPr>
    </xdr:pic>
    <xdr:clientData/>
  </xdr:twoCellAnchor>
</xdr:wsDr>
</file>

<file path=xl/tables/table1.xml><?xml version="1.0" encoding="utf-8"?>
<table xmlns="http://schemas.openxmlformats.org/spreadsheetml/2006/main" id="8" name="Wheels" displayName="Wheels" ref="F4:T19" headerRowCount="0" totalsRowShown="0" headerRowDxfId="137" dataDxfId="136">
  <tableColumns count="15">
    <tableColumn id="1" name="Sloupec1" dataDxfId="135"/>
    <tableColumn id="2" name="Sloupec2" dataDxfId="134"/>
    <tableColumn id="3" name="Sloupec3" dataDxfId="133"/>
    <tableColumn id="4" name="Sloupec4" dataDxfId="132"/>
    <tableColumn id="5" name="Sloupec5" headerRowDxfId="131" dataDxfId="130"/>
    <tableColumn id="6" name="Sloupec6" dataDxfId="129"/>
    <tableColumn id="7" name="Sloupec7" dataDxfId="128"/>
    <tableColumn id="8" name="Sloupec8" dataDxfId="127"/>
    <tableColumn id="9" name="Sloupec9" dataDxfId="126"/>
    <tableColumn id="10" name="Sloupec10" dataDxfId="125"/>
    <tableColumn id="13" name="Sloupec12" dataDxfId="124"/>
    <tableColumn id="14" name="Sloupec15" dataDxfId="123"/>
    <tableColumn id="12" name="Sloupec13" dataDxfId="122"/>
    <tableColumn id="11" name="Sloupec11" dataDxfId="121"/>
    <tableColumn id="15" name="Sloupec14" headerRowDxfId="120" dataDxfId="119"/>
  </tableColumns>
  <tableStyleInfo name="TableStyleLight18 2" showFirstColumn="0" showLastColumn="0" showRowStripes="0" showColumnStripes="0"/>
</table>
</file>

<file path=xl/tables/table2.xml><?xml version="1.0" encoding="utf-8"?>
<table xmlns="http://schemas.openxmlformats.org/spreadsheetml/2006/main" id="13" name="Knives" displayName="Knives" ref="B3:AE255" totalsRowShown="0" headerRowDxfId="115" dataDxfId="113" headerRowBorderDxfId="114">
  <autoFilter ref="B3:AE255"/>
  <sortState ref="B4:Y255">
    <sortCondition ref="C3:C255"/>
  </sortState>
  <tableColumns count="30">
    <tableColumn id="1" name="Index" dataDxfId="0">
      <calculatedColumnFormula>IF(C4&lt;&gt;"",ROW(A1),"")</calculatedColumnFormula>
    </tableColumn>
    <tableColumn id="2" name="Manufacturer" dataDxfId="112"/>
    <tableColumn id="3" name="Model" dataDxfId="111"/>
    <tableColumn id="4" name="Owner" dataDxfId="110"/>
    <tableColumn id="5" name="Total length" dataDxfId="109"/>
    <tableColumn id="6" name="Blade length" dataDxfId="108"/>
    <tableColumn id="7" name="Edge length" dataDxfId="107"/>
    <tableColumn id="8" name="Blade height" dataDxfId="106"/>
    <tableColumn id="9" name="Thickness" dataDxfId="105"/>
    <tableColumn id="10" name="Grind profile" dataDxfId="104"/>
    <tableColumn id="30" name="Grind height" dataDxfId="103"/>
    <tableColumn id="11" name="Blade bevel" dataDxfId="102"/>
    <tableColumn id="25" name="Edge thickness" dataDxfId="101"/>
    <tableColumn id="29" name="Edge height" dataDxfId="100"/>
    <tableColumn id="12" name="Material" dataDxfId="99"/>
    <tableColumn id="13" name="HRC" dataDxfId="98"/>
    <tableColumn id="14" name="Jig type" dataDxfId="97"/>
    <tableColumn id="15" name="Jig proj. X" dataDxfId="96"/>
    <tableColumn id="16" name="Jig dia M" dataDxfId="95"/>
    <tableColumn id="28" name="Jig setting" dataDxfId="94"/>
    <tableColumn id="17" name="from G" dataDxfId="93"/>
    <tableColumn id="18" name="from S" dataDxfId="92"/>
    <tableColumn id="31" name="USB height" dataDxfId="91"/>
    <tableColumn id="19" name="Procedure" dataDxfId="90"/>
    <tableColumn id="20" name="Declared (manufacturer specification)" dataDxfId="89"/>
    <tableColumn id="21" name="Measured" dataDxfId="88"/>
    <tableColumn id="22" name="Grinded" dataDxfId="87"/>
    <tableColumn id="32" name="Bess" dataDxfId="86"/>
    <tableColumn id="24" name="Notes" dataDxfId="85"/>
    <tableColumn id="27" name="Picture" dataDxfId="84">
      <calculatedColumnFormula>IF(C4&lt;&gt;"",HYPERLINK(CONCATENATE(SheetName01,"\",Knives[[#This Row],[Manufacturer]],IF(Knives[[#This Row],[Model]]&lt;&gt;""," "&amp;Knives[[#This Row],[Model]],),".jpg"),CONCATENATE(Knives[[#This Row],[Manufacturer]],IF(Knives[[#This Row],[Model]]&lt;&gt;""," "&amp;Knives[[#This Row],[Model]],),".jpg")),"")</calculatedColumnFormula>
    </tableColumn>
  </tableColumns>
  <tableStyleInfo name="TableStyleLight18 2" showFirstColumn="0" showLastColumn="0" showRowStripes="1" showColumnStripes="0"/>
</table>
</file>

<file path=xl/tables/table3.xml><?xml version="1.0" encoding="utf-8"?>
<table xmlns="http://schemas.openxmlformats.org/spreadsheetml/2006/main" id="14" name="KnivesListTable" displayName="KnivesListTable" ref="AG3:AG255" totalsRowShown="0" headerRowDxfId="83" dataDxfId="82">
  <autoFilter ref="AG3:AG255"/>
  <tableColumns count="1">
    <tableColumn id="1" name="KnivesList" dataDxfId="81">
      <calculatedColumnFormula>IF(B4="","",(CONCATENATE(TEXT(B4,"000")," ",C4," ",D4)))</calculatedColumnFormula>
    </tableColumn>
  </tableColumns>
  <tableStyleInfo name="TableStyleLight4" showFirstColumn="0" showLastColumn="0" showRowStripes="1" showColumnStripes="0"/>
</table>
</file>

<file path=xl/tables/table4.xml><?xml version="1.0" encoding="utf-8"?>
<table xmlns="http://schemas.openxmlformats.org/spreadsheetml/2006/main" id="1" name="Tools" displayName="Tools" ref="B3:AE255" totalsRowShown="0" headerRowDxfId="77" dataDxfId="75" headerRowBorderDxfId="76">
  <autoFilter ref="B3:AE255"/>
  <sortState ref="B4:Y255">
    <sortCondition ref="C3:C255"/>
  </sortState>
  <tableColumns count="30">
    <tableColumn id="1" name="Index" dataDxfId="1">
      <calculatedColumnFormula>IF(C4&lt;&gt;"",ROW(A1),"")</calculatedColumnFormula>
    </tableColumn>
    <tableColumn id="2" name="Manufacturer" dataDxfId="74"/>
    <tableColumn id="3" name="Model" dataDxfId="73"/>
    <tableColumn id="4" name="Owner" dataDxfId="72"/>
    <tableColumn id="5" name="Total length" dataDxfId="71"/>
    <tableColumn id="6" name="Blade length" dataDxfId="70"/>
    <tableColumn id="7" name="Edge length" dataDxfId="69"/>
    <tableColumn id="8" name="Blade height" dataDxfId="68"/>
    <tableColumn id="9" name="Thickness" dataDxfId="67"/>
    <tableColumn id="10" name="Grind profile" dataDxfId="66"/>
    <tableColumn id="30" name="Grind height" dataDxfId="65"/>
    <tableColumn id="11" name="Blade bevel" dataDxfId="64"/>
    <tableColumn id="25" name="Edge thickness" dataDxfId="63"/>
    <tableColumn id="29" name="Edge height" dataDxfId="62"/>
    <tableColumn id="12" name="Material" dataDxfId="61"/>
    <tableColumn id="13" name="HRC" dataDxfId="60"/>
    <tableColumn id="14" name="Jig type" dataDxfId="59"/>
    <tableColumn id="15" name="Jig proj. X" dataDxfId="58"/>
    <tableColumn id="16" name="Jig dia M" dataDxfId="57"/>
    <tableColumn id="28" name="Jig setting" dataDxfId="56"/>
    <tableColumn id="17" name="from G" dataDxfId="55"/>
    <tableColumn id="18" name="from S" dataDxfId="54"/>
    <tableColumn id="31" name="USB height" dataDxfId="53"/>
    <tableColumn id="19" name="Procedure" dataDxfId="52"/>
    <tableColumn id="20" name="Declared (manufacturer specification)" dataDxfId="51"/>
    <tableColumn id="21" name="Measured" dataDxfId="50"/>
    <tableColumn id="22" name="Grinded" dataDxfId="49"/>
    <tableColumn id="32" name="Bess" dataDxfId="48"/>
    <tableColumn id="24" name="Notes" dataDxfId="47"/>
    <tableColumn id="27" name="Picture" dataDxfId="46">
      <calculatedColumnFormula>IF(C4&lt;&gt;"",HYPERLINK(CONCATENATE(SheetName02,"\",Tools[[#This Row],[Manufacturer]],IF(Tools[[#This Row],[Model]]&lt;&gt;""," "&amp;Tools[[#This Row],[Model]],),".jpg"),CONCATENATE(Tools[[#This Row],[Manufacturer]],IF(Tools[[#This Row],[Model]]&lt;&gt;""," "&amp;Tools[[#This Row],[Model]],),".jpg")),"")</calculatedColumnFormula>
    </tableColumn>
  </tableColumns>
  <tableStyleInfo name="TableStyleLight18 2" showFirstColumn="0" showLastColumn="0" showRowStripes="1" showColumnStripes="0"/>
</table>
</file>

<file path=xl/tables/table5.xml><?xml version="1.0" encoding="utf-8"?>
<table xmlns="http://schemas.openxmlformats.org/spreadsheetml/2006/main" id="4" name="ToolsListTable" displayName="ToolsListTable" ref="AG3:AG255" totalsRowShown="0" headerRowDxfId="45" dataDxfId="44">
  <autoFilter ref="AG3:AG255"/>
  <tableColumns count="1">
    <tableColumn id="1" name="ToolsList" dataDxfId="43">
      <calculatedColumnFormula>IF(B4="","",(CONCATENATE(TEXT(B4,"000")," ",C4," ",D4)))</calculatedColumnFormula>
    </tableColumn>
  </tableColumns>
  <tableStyleInfo name="TableStyleLight4" showFirstColumn="0" showLastColumn="0" showRowStripes="1" showColumnStripes="0"/>
</table>
</file>

<file path=xl/tables/table6.xml><?xml version="1.0" encoding="utf-8"?>
<table xmlns="http://schemas.openxmlformats.org/spreadsheetml/2006/main" id="12" name="JigListsTable" displayName="JigListsTable" ref="S5:W55" totalsRowShown="0" headerRowDxfId="31" dataDxfId="30">
  <tableColumns count="5">
    <tableColumn id="1" name="JigsKnivesDL" dataDxfId="29">
      <calculatedColumnFormula>IFERROR(INDEX($D$6:$D$150,_xlfn.AGGREGATE(15,6,(ROW($D$6:$D$150)-ROW($D$6)+1)/($E$6:$E$150="Knives"),ROWS(R$6:R6))),"")</calculatedColumnFormula>
    </tableColumn>
    <tableColumn id="2" name="JigsToolsDL" dataDxfId="28">
      <calculatedColumnFormula>IFERROR(INDEX($D$6:$D$150,_xlfn.AGGREGATE(15,6,(ROW($D$6:$D$150)-ROW($D$6)+1)/($E$6:$E$150="Tools"),ROWS(R$6:R6))),"")</calculatedColumnFormula>
    </tableColumn>
    <tableColumn id="3" name="JigsToolsNC" dataDxfId="27">
      <calculatedColumnFormula>IFERROR(INDEX($D$6:$D$150,_xlfn.AGGREGATE(15,6,(ROW($D$6:$D$150)-ROW($D$6)+1)/($E$6:$E$150="Tools NC"),ROWS(R$6:R6))),"")</calculatedColumnFormula>
    </tableColumn>
    <tableColumn id="4" name="JigsToolsALL" dataDxfId="26">
      <calculatedColumnFormula>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calculatedColumnFormula>
    </tableColumn>
    <tableColumn id="5" name="JigsALL" dataDxfId="25">
      <calculatedColumnFormula>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calculatedColumnFormula>
    </tableColumn>
  </tableColumns>
  <tableStyleInfo name="TableStyleLight4" showFirstColumn="0" showLastColumn="0" showRowStripes="1" showColumnStripes="0"/>
</table>
</file>

<file path=xl/tables/table7.xml><?xml version="1.0" encoding="utf-8"?>
<table xmlns="http://schemas.openxmlformats.org/spreadsheetml/2006/main" id="2" name="SheetNames" displayName="SheetNames" ref="B4:C6" totalsRowShown="0" headerRowDxfId="24" dataDxfId="23">
  <tableColumns count="2">
    <tableColumn id="1" name="SheetName" dataDxfId="22"/>
    <tableColumn id="2" name="InCellName" dataDxfId="21"/>
  </tableColumns>
  <tableStyleInfo name="TableStyleLight18" showFirstColumn="0" showLastColumn="0" showRowStripes="1" showColumnStripes="0"/>
</table>
</file>

<file path=xl/tables/table8.xml><?xml version="1.0" encoding="utf-8"?>
<table xmlns="http://schemas.openxmlformats.org/spreadsheetml/2006/main" id="5" name="DefaultValues" displayName="DefaultValues" ref="E4:F37" headerRowDxfId="20" dataDxfId="19" totalsRowDxfId="18">
  <tableColumns count="2">
    <tableColumn id="1" name="Default setting description" totalsRowLabel="Celkem" dataDxfId="17" totalsRowDxfId="16"/>
    <tableColumn id="2" name="Value" totalsRowFunction="count" dataDxfId="15" totalsRowDxfId="14"/>
  </tableColumns>
  <tableStyleInfo name="TableStyleLight18" showFirstColumn="0" showLastColumn="0" showRowStripes="1" showColumnStripes="0"/>
</table>
</file>

<file path=xl/tables/table9.xml><?xml version="1.0" encoding="utf-8"?>
<table xmlns="http://schemas.openxmlformats.org/spreadsheetml/2006/main" id="7" name="Machines" displayName="Machines" ref="H4:M25" totalsRowShown="0" headerRowDxfId="13" dataDxfId="12">
  <tableColumns count="6">
    <tableColumn id="1" name="Setting description" dataDxfId="11"/>
    <tableColumn id="2" name="Machine 1" dataDxfId="10"/>
    <tableColumn id="3" name="Machine 2" dataDxfId="9"/>
    <tableColumn id="4" name="Machine 3" dataDxfId="8"/>
    <tableColumn id="5" name="Machine 4" dataDxfId="7"/>
    <tableColumn id="6" name="Machine 5" dataDxfId="6"/>
  </tableColumns>
  <tableStyleInfo name="TableStyleLight18" showFirstColumn="0" showLastColumn="0" showRowStripes="1" showColumnStripes="0"/>
</table>
</file>

<file path=xl/tables/table10.xml><?xml version="1.0" encoding="utf-8"?>
<table xmlns="http://schemas.openxmlformats.org/spreadsheetml/2006/main" id="3" name="GrindTypesTable" displayName="GrindTypesTable" ref="O4:P25" totalsRowShown="0" headerRowDxfId="5" dataDxfId="4">
  <tableColumns count="2">
    <tableColumn id="1" name="Knives grind" dataDxfId="3"/>
    <tableColumn id="2" name="Tools grind" dataDxfId="2"/>
  </tableColumns>
  <tableStyleInfo name="TableStyleLight18 2" showFirstColumn="0" showLastColumn="0" showRowStripes="1" showColumnStripes="0"/>
</table>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comments" Target="../comments7.xml"/><Relationship Id="rId3" Type="http://schemas.openxmlformats.org/officeDocument/2006/relationships/vmlDrawing" Target="../drawings/vmlDrawing7.vml"/><Relationship Id="rId7" Type="http://schemas.openxmlformats.org/officeDocument/2006/relationships/table" Target="../tables/table10.xml"/><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ist1">
    <tabColor theme="6"/>
    <pageSetUpPr fitToPage="1"/>
  </sheetPr>
  <dimension ref="B2:U46"/>
  <sheetViews>
    <sheetView tabSelected="1" zoomScaleNormal="100" workbookViewId="0">
      <selection activeCell="C7" sqref="C7:D7"/>
    </sheetView>
  </sheetViews>
  <sheetFormatPr defaultRowHeight="15" x14ac:dyDescent="0.25"/>
  <cols>
    <col min="1" max="1" width="3.28515625" style="5" customWidth="1"/>
    <col min="2" max="2" width="44" style="5" customWidth="1"/>
    <col min="3" max="4" width="14" style="5" customWidth="1"/>
    <col min="5" max="5" width="10.140625" style="5" customWidth="1"/>
    <col min="6" max="6" width="20.42578125" style="5" customWidth="1"/>
    <col min="7" max="20" width="14.7109375" style="5" customWidth="1"/>
    <col min="21" max="21" width="14.7109375" customWidth="1"/>
    <col min="22" max="16384" width="9.140625" style="5"/>
  </cols>
  <sheetData>
    <row r="2" spans="2:20" ht="18" x14ac:dyDescent="0.25">
      <c r="B2" s="235" t="s">
        <v>278</v>
      </c>
      <c r="C2" s="236"/>
      <c r="D2" s="237"/>
    </row>
    <row r="3" spans="2:20" x14ac:dyDescent="0.25">
      <c r="B3" s="8"/>
      <c r="C3" s="233"/>
      <c r="D3" s="234"/>
    </row>
    <row r="4" spans="2:20" x14ac:dyDescent="0.25">
      <c r="B4" s="126" t="s">
        <v>178</v>
      </c>
      <c r="C4" s="244" t="s">
        <v>106</v>
      </c>
      <c r="D4" s="245"/>
      <c r="E4" s="114" t="str">
        <f>IF($C$4=""," &lt;--  " &amp; EmptyData,"")</f>
        <v/>
      </c>
      <c r="F4" s="11" t="s">
        <v>15</v>
      </c>
      <c r="G4" s="45" t="s">
        <v>5</v>
      </c>
      <c r="H4" s="45" t="s">
        <v>6</v>
      </c>
      <c r="I4" s="45" t="s">
        <v>7</v>
      </c>
      <c r="J4" s="45" t="s">
        <v>8</v>
      </c>
      <c r="K4" s="45" t="s">
        <v>10</v>
      </c>
      <c r="L4" s="45" t="s">
        <v>9</v>
      </c>
      <c r="M4" s="45" t="s">
        <v>11</v>
      </c>
      <c r="N4" s="45" t="s">
        <v>12</v>
      </c>
      <c r="O4" s="45" t="s">
        <v>161</v>
      </c>
      <c r="P4" s="45" t="s">
        <v>159</v>
      </c>
      <c r="Q4" s="45" t="s">
        <v>160</v>
      </c>
      <c r="R4" s="45" t="s">
        <v>51</v>
      </c>
      <c r="S4" s="45" t="s">
        <v>52</v>
      </c>
      <c r="T4" s="45" t="s">
        <v>317</v>
      </c>
    </row>
    <row r="5" spans="2:20" x14ac:dyDescent="0.25">
      <c r="B5" s="8"/>
      <c r="C5" s="246"/>
      <c r="D5" s="247"/>
      <c r="F5" s="14"/>
      <c r="G5" s="14">
        <f t="shared" ref="G5:T5" ca="1" si="0">IF(ISERROR(CELL("width",G$4)),F5+1,N(F5)+SUBTOTAL(103,G$4)*(CELL("width",G$4)&gt;0))</f>
        <v>1</v>
      </c>
      <c r="H5" s="14">
        <f t="shared" ca="1" si="0"/>
        <v>2</v>
      </c>
      <c r="I5" s="14">
        <f t="shared" ca="1" si="0"/>
        <v>3</v>
      </c>
      <c r="J5" s="14">
        <f t="shared" ca="1" si="0"/>
        <v>4</v>
      </c>
      <c r="K5" s="14">
        <f t="shared" ca="1" si="0"/>
        <v>5</v>
      </c>
      <c r="L5" s="14">
        <f t="shared" ca="1" si="0"/>
        <v>6</v>
      </c>
      <c r="M5" s="14">
        <f t="shared" ca="1" si="0"/>
        <v>7</v>
      </c>
      <c r="N5" s="14">
        <f t="shared" ca="1" si="0"/>
        <v>8</v>
      </c>
      <c r="O5" s="14">
        <f t="shared" ca="1" si="0"/>
        <v>9</v>
      </c>
      <c r="P5" s="14">
        <f t="shared" ca="1" si="0"/>
        <v>10</v>
      </c>
      <c r="Q5" s="14">
        <f t="shared" ca="1" si="0"/>
        <v>11</v>
      </c>
      <c r="R5" s="14">
        <f t="shared" ca="1" si="0"/>
        <v>12</v>
      </c>
      <c r="S5" s="14">
        <f t="shared" ca="1" si="0"/>
        <v>13</v>
      </c>
      <c r="T5" s="14">
        <f t="shared" ca="1" si="0"/>
        <v>14</v>
      </c>
    </row>
    <row r="6" spans="2:20" x14ac:dyDescent="0.25">
      <c r="B6" s="8"/>
      <c r="C6" s="128" t="s">
        <v>47</v>
      </c>
      <c r="D6" s="128" t="s">
        <v>48</v>
      </c>
      <c r="F6" s="17"/>
      <c r="G6" s="17" t="str">
        <f ca="1">IF(ISERROR(INDEX($G$4:$T$4,MATCH(COLUMNS($G6:G6),$G$5:$T$5,0))),"",INDEX($G$4:$T$4,MATCH(COLUMNS($G6:G6),$G$5:$T$5,0)))</f>
        <v>SG-250</v>
      </c>
      <c r="H6" s="17" t="str">
        <f ca="1">IF(ISERROR(INDEX($G$4:$T$4,MATCH(COLUMNS($G6:H6),$G$5:$T$5,0))),"",INDEX($G$4:$T$4,MATCH(COLUMNS($G6:H6),$G$5:$T$5,0)))</f>
        <v>SB-250</v>
      </c>
      <c r="I6" s="17" t="str">
        <f ca="1">IF(ISERROR(INDEX($G$4:$T$4,MATCH(COLUMNS($G6:I6),$G$5:$T$5,0))),"",INDEX($G$4:$T$4,MATCH(COLUMNS($G6:I6),$G$5:$T$5,0)))</f>
        <v>Sun Tiger 800</v>
      </c>
      <c r="J6" s="17" t="str">
        <f ca="1">IF(ISERROR(INDEX($G$4:$T$4,MATCH(COLUMNS($G6:J6),$G$5:$T$5,0))),"",INDEX($G$4:$T$4,MATCH(COLUMNS($G6:J6),$G$5:$T$5,0)))</f>
        <v>SJ-250</v>
      </c>
      <c r="K6" s="17" t="str">
        <f ca="1">IF(ISERROR(INDEX($G$4:$T$4,MATCH(COLUMNS($G6:K6),$G$5:$T$5,0))),"",INDEX($G$4:$T$4,MATCH(COLUMNS($G6:K6),$G$5:$T$5,0)))</f>
        <v>Sun Tiger 4000</v>
      </c>
      <c r="L6" s="17" t="str">
        <f ca="1">IF(ISERROR(INDEX($G$4:$T$4,MATCH(COLUMNS($G6:L6),$G$5:$T$5,0))),"",INDEX($G$4:$T$4,MATCH(COLUMNS($G6:L6),$G$5:$T$5,0)))</f>
        <v>DC-250</v>
      </c>
      <c r="M6" s="17" t="str">
        <f ca="1">IF(ISERROR(INDEX($G$4:$T$4,MATCH(COLUMNS($G6:M6),$G$5:$T$5,0))),"",INDEX($G$4:$T$4,MATCH(COLUMNS($G6:M6),$G$5:$T$5,0)))</f>
        <v>DF-250</v>
      </c>
      <c r="N6" s="17" t="str">
        <f ca="1">IF(ISERROR(INDEX($G$4:$T$4,MATCH(COLUMNS($G6:N6),$G$5:$T$5,0))),"",INDEX($G$4:$T$4,MATCH(COLUMNS($G6:N6),$G$5:$T$5,0)))</f>
        <v>DE-250</v>
      </c>
      <c r="O6" s="17" t="str">
        <f ca="1">IF(ISERROR(INDEX($G$4:$T$4,MATCH(COLUMNS($G6:O6),$G$5:$T$5,0))),"",INDEX($G$4:$T$4,MATCH(COLUMNS($G6:O6),$G$5:$T$5,0)))</f>
        <v>LA-220  PA-77</v>
      </c>
      <c r="P6" s="17" t="str">
        <f ca="1">IF(ISERROR(INDEX($G$4:$T$4,MATCH(COLUMNS($G6:P6),$G$5:$T$5,0))),"",INDEX($G$4:$T$4,MATCH(COLUMNS($G6:P6),$G$5:$T$5,0)))</f>
        <v>LA-220  FlexCut</v>
      </c>
      <c r="Q6" s="17" t="str">
        <f ca="1">IF(ISERROR(INDEX($G$4:$T$4,MATCH(COLUMNS($G6:Q6),$G$5:$T$5,0))),"",INDEX($G$4:$T$4,MATCH(COLUMNS($G6:Q6),$G$5:$T$5,0)))</f>
        <v>LA-220  Chromox</v>
      </c>
      <c r="R6" s="17" t="str">
        <f ca="1">IF(ISERROR(INDEX($G$4:$T$4,MATCH(COLUMNS($G6:R6),$G$5:$T$5,0))),"",INDEX($G$4:$T$4,MATCH(COLUMNS($G6:R6),$G$5:$T$5,0)))</f>
        <v>Custom 1</v>
      </c>
      <c r="S6" s="17" t="str">
        <f ca="1">IF(ISERROR(INDEX($G$4:$T$4,MATCH(COLUMNS($G6:S6),$G$5:$T$5,0))),"",INDEX($G$4:$T$4,MATCH(COLUMNS($G6:S6),$G$5:$T$5,0)))</f>
        <v>Custom 2</v>
      </c>
      <c r="T6" s="17" t="str">
        <f ca="1">IF(ISERROR(INDEX($G$4:$T$4,MATCH(COLUMNS($G6:T6),$G$5:$T$5,0))),"",INDEX($G$4:$T$4,MATCH(COLUMNS($G6:T6),$G$5:$T$5,0)))</f>
        <v>Wheel XY</v>
      </c>
    </row>
    <row r="7" spans="2:20" x14ac:dyDescent="0.25">
      <c r="B7" s="127" t="str">
        <f>IF($C$4=SheetName02,InCellName02,InCellName01)</f>
        <v>Knife</v>
      </c>
      <c r="C7" s="242" t="s">
        <v>306</v>
      </c>
      <c r="D7" s="243"/>
      <c r="F7" s="18"/>
      <c r="G7" s="125"/>
      <c r="H7" s="17"/>
      <c r="I7" s="17"/>
      <c r="J7" s="17"/>
      <c r="K7" s="17"/>
      <c r="L7" s="17"/>
      <c r="M7" s="17"/>
      <c r="N7" s="17"/>
      <c r="O7" s="17"/>
      <c r="P7" s="17"/>
      <c r="Q7" s="17"/>
      <c r="R7" s="17"/>
      <c r="S7" s="17"/>
      <c r="T7" s="17"/>
    </row>
    <row r="8" spans="2:20" x14ac:dyDescent="0.25">
      <c r="B8" s="127" t="s">
        <v>114</v>
      </c>
      <c r="C8" s="248" t="s">
        <v>41</v>
      </c>
      <c r="D8" s="249"/>
      <c r="F8" s="17"/>
      <c r="G8" s="17"/>
      <c r="H8" s="17"/>
      <c r="I8" s="17"/>
      <c r="J8" s="17"/>
      <c r="K8" s="17"/>
      <c r="L8" s="17"/>
      <c r="M8" s="17"/>
      <c r="N8" s="17"/>
      <c r="O8" s="17"/>
      <c r="P8" s="17"/>
      <c r="Q8" s="17"/>
      <c r="R8" s="17"/>
      <c r="S8" s="17"/>
      <c r="T8" s="17"/>
    </row>
    <row r="9" spans="2:20" x14ac:dyDescent="0.25">
      <c r="B9" s="10"/>
      <c r="C9" s="240"/>
      <c r="D9" s="241"/>
      <c r="F9" s="19"/>
      <c r="G9" s="20"/>
      <c r="H9" s="20"/>
      <c r="I9" s="20"/>
      <c r="J9" s="20"/>
      <c r="K9" s="20"/>
      <c r="L9" s="20"/>
      <c r="M9" s="20"/>
      <c r="N9" s="20"/>
      <c r="O9" s="20"/>
      <c r="P9" s="20"/>
      <c r="Q9" s="20"/>
      <c r="R9" s="20"/>
      <c r="S9" s="19"/>
      <c r="T9" s="19"/>
    </row>
    <row r="10" spans="2:20" x14ac:dyDescent="0.25">
      <c r="B10" s="100" t="str">
        <f>IF($C$4=SheetName01,"Jig projection length X [mm]","Jig or Tool projection length X [mm]")</f>
        <v>Jig projection length X [mm]</v>
      </c>
      <c r="C10" s="101">
        <f ca="1">IF($D$10=0,IF($C$8="", IF(AND($C$7&lt;&gt;"",NOT(ISERROR(MATCH($C$7,INDIRECT($C$4&amp;"ListTable["&amp;INDIRECT("$C$4")&amp;"List]"),0)))), IF(INDEX(INDIRECT($C$4&amp;"[Jig type]"),MATCH($C$7,INDIRECT($C$4&amp;"ListTable["&amp;INDIRECT("$C$4")&amp;"List]"),0))="",IF(ISNUMBER(INDEX(INDIRECT($C$4&amp;"[Jig proj. X]"),MATCH($C$7,INDIRECT($C$4&amp;"ListTable["&amp;INDIRECT("$C$4")&amp;"List]"),0))),INDEX(INDIRECT($C$4&amp;"[Jig proj. X]"),MATCH($C$7,INDIRECT($C$4&amp;"ListTable["&amp;INDIRECT("$C$4")&amp;"List]"),0)),DefaultJPL),IF(NOT(ISERROR(MATCH(INDEX(INDIRECT($C$4&amp;"[Jig type]"),MATCH($C$7,INDIRECT($C$4&amp;"ListTable["&amp;INDIRECT("$C$4")&amp;"List]"),0)),Jigs!$D6:$D105,0))),IF(ISNUMBER(INDEX(Jigs!$H6:$H105,MATCH(INDEX(INDIRECT($C$4&amp;"[Jig type]"),MATCH($C$7,INDIRECT($C$4&amp;"ListTable["&amp;INDIRECT("$C$4")&amp;"List]"),0)),Jigs!$D6:$D105,0),0)),IF(INDEX(Jigs!$H6:$H105,MATCH(INDEX(INDIRECT($C$4&amp;"[Jig type]"),MATCH($C$7,INDIRECT($C$4&amp;"ListTable["&amp;INDIRECT("$C$4")&amp;"List]"),0)),Jigs!$D6:$D105,0),0)=0, IF(ISNUMBER(INDEX(INDIRECT($C$4&amp;"[Jig proj. X]"),MATCH($C$7,INDIRECT($C$4&amp;"ListTable["&amp;INDIRECT("$C$4")&amp;"List]"),0))),INDEX(INDIRECT($C$4&amp;"[Jig proj. X]"),MATCH($C$7,INDIRECT($C$4&amp;"ListTable["&amp;INDIRECT("$C$4")&amp;"List]"),0)),DefaultJPL),INDEX(Jigs!$H6:$H105,MATCH(INDEX(INDIRECT($C$4&amp;"[Jig type]"),MATCH($C$7,INDIRECT($C$4&amp;"ListTable["&amp;INDIRECT("$C$4")&amp;"List]"),0)),Jigs!$D6:$D105,0),0)+IF(ISNUMBER(INDEX(INDIRECT($C$4&amp;"[Jig proj. X]"),MATCH($C$7,INDIRECT($C$4&amp;"ListTable["&amp;INDIRECT("$C$4")&amp;"List]"),0))),INDEX(INDIRECT($C$4&amp;"[Jig proj. X]"),MATCH($C$7,INDIRECT($C$4&amp;"ListTable["&amp;INDIRECT("$C$4")&amp;"List]"),0)),DefaultJPL) ),DefaultJPL),DefaultJPL)),DefaultJPL), IF(NOT(ISERROR(MATCH($C$8,Jigs!$D6:$D105,0))),IF(AND(ISNUMBER(INDEX(Jigs!$H6:$H105,MATCH($C$8,Jigs!$D$6:$D$105,0))),INDEX(Jigs!$H6:$H105,MATCH($C$8,Jigs!$D$6:$D$105,0))&lt;&gt;0),INDEX(Jigs!$H6:$H105,MATCH($C$8,Jigs!$D$6:$D$105,0))+$D$10,IF(AND($C$7&lt;&gt;"",NOT(ISERROR(MATCH($C$7,INDIRECT($C$4&amp;"ListTable["&amp;INDIRECT("$C$4")&amp;"List]"),0)))),IF(ISNUMBER(INDEX(INDIRECT($C$4&amp;"[Jig proj. X]"),MATCH($C$7,INDIRECT($C$4&amp;"ListTable["&amp;INDIRECT("$C$4")&amp;"List]"),0))),INDEX(INDIRECT($C$4&amp;"[Jig proj. X]"),MATCH($C$7,INDIRECT($C$4&amp;"ListTable["&amp;INDIRECT("$C$4")&amp;"List]"),0)),DefaultJPL),DefaultJPL)),DefaultJPL)), IF($C$8="",IF(ISNUMBER($D$10),IF($C$7="",$D$10,IF($C$4="",$D$10,IF(INDEX(INDIRECT($C$4&amp;"[Jig type]"),MATCH($C$7,INDIRECT($C$4&amp;"ListTable["&amp;INDIRECT("$C$4")&amp;"List]"),0))="",IF(ISNUMBER(INDEX(INDIRECT($C$4&amp;"[Jig proj. X]"),MATCH($C$7,INDIRECT($C$4&amp;"ListTable["&amp;INDIRECT("$C$4")&amp;"List]"),0))),INDEX(INDIRECT($C$4&amp;"[Jig proj. X]"),MATCH($C$7,INDIRECT($C$4&amp;"ListTable["&amp;INDIRECT("$C$4")&amp;"List]"),0)),DefaultJPL),IF(NOT(ISERROR(MATCH(INDEX(INDIRECT($C$4&amp;"[Jig type]"),MATCH($C$7,INDIRECT($C$4&amp;"ListTable["&amp;INDIRECT("$C$4")&amp;"List]"),0)),Jigs!$D6:$D105,0))),IF(ISNUMBER(INDEX(Jigs!$H6:$H105,MATCH(INDEX(INDIRECT($C$4&amp;"[Jig type]"),MATCH($C$7,INDIRECT($C$4&amp;"ListTable["&amp;INDIRECT("$C$4")&amp;"List]"),0)),Jigs!$D6:$D105,0),0)),IF(INDEX(Jigs!$H6:$H105,MATCH(INDEX(INDIRECT($C$4&amp;"[Jig type]"),MATCH($C$7,INDIRECT($C$4&amp;"ListTable["&amp;INDIRECT("$C$4")&amp;"List]"),0)),Jigs!$D6:$D105,0),0)=0,$D$10,INDEX(Jigs!$H6:$H105,MATCH(INDEX(INDIRECT($C$4&amp;"[Jig type]"),MATCH($C$7,INDIRECT($C$4&amp;"ListTable["&amp;INDIRECT("$C$4")&amp;"List]"),0)),Jigs!$D6:$D105,0),0)+$D$10),DefaultJPL), DefaultJPL)))),DefaultJPL),IF(NOT(ISERROR(MATCH($C$8,Jigs!$D6:$D105,0))),IF(AND(ISNUMBER(INDEX(Jigs!$H6:$H105,MATCH($C$8,Jigs!$D$6:$D$105,0))),INDEX(Jigs!$H6:$H105,MATCH($C$8,Jigs!$D$6:$D$105,0))&lt;&gt;0),INDEX(Jigs!$H6:$H105,MATCH($C$8,Jigs!$D$6:$D$105,0))+$D$10,$D$10),DefaultJPL)))</f>
        <v>138</v>
      </c>
      <c r="D10" s="1"/>
      <c r="E10" s="13"/>
      <c r="F10" s="13" t="s">
        <v>13</v>
      </c>
      <c r="G10" s="44">
        <v>220</v>
      </c>
      <c r="H10" s="44">
        <v>220</v>
      </c>
      <c r="I10" s="44">
        <v>800</v>
      </c>
      <c r="J10" s="44">
        <v>4000</v>
      </c>
      <c r="K10" s="44">
        <v>4000</v>
      </c>
      <c r="L10" s="44">
        <v>360</v>
      </c>
      <c r="M10" s="44">
        <v>600</v>
      </c>
      <c r="N10" s="44">
        <v>1200</v>
      </c>
      <c r="O10" s="44" t="s">
        <v>14</v>
      </c>
      <c r="P10" s="44" t="s">
        <v>14</v>
      </c>
      <c r="Q10" s="44" t="s">
        <v>14</v>
      </c>
      <c r="R10" s="44" t="s">
        <v>14</v>
      </c>
      <c r="S10" s="44" t="s">
        <v>14</v>
      </c>
      <c r="T10" s="44">
        <v>80</v>
      </c>
    </row>
    <row r="11" spans="2:20" x14ac:dyDescent="0.25">
      <c r="B11" s="102" t="s">
        <v>49</v>
      </c>
      <c r="C11" s="101">
        <f ca="1">IF($D$11=0,IF(AND($C$7&lt;&gt;"",NOT(ISERROR(MATCH($C$7,INDIRECT($C$4&amp;"ListTable["&amp;INDIRECT("$C$4")&amp;"List]"),0)))),IF(ISNUMBER(INDEX(INDIRECT($C$4&amp;"[Grinded]"),MATCH($C$7,INDIRECT($C$4&amp;"ListTable["&amp;INDIRECT("$C$4")&amp;"List]"),0))),INDEX(INDIRECT($C$4&amp;"[Grinded]"),MATCH($C$7,INDIRECT($C$4&amp;"ListTable["&amp;INDIRECT("$C$4")&amp;"List]"),0)),DefaultGA),DefaultGA),$D$11)</f>
        <v>20</v>
      </c>
      <c r="D11" s="1"/>
      <c r="E11" s="16"/>
      <c r="F11" s="13" t="s">
        <v>26</v>
      </c>
      <c r="G11" s="44">
        <v>250</v>
      </c>
      <c r="H11" s="44">
        <v>250</v>
      </c>
      <c r="I11" s="144">
        <v>254</v>
      </c>
      <c r="J11" s="44">
        <v>250</v>
      </c>
      <c r="K11" s="44">
        <v>254</v>
      </c>
      <c r="L11" s="44">
        <v>250</v>
      </c>
      <c r="M11" s="44">
        <v>250</v>
      </c>
      <c r="N11" s="44">
        <v>250</v>
      </c>
      <c r="O11" s="44">
        <v>220</v>
      </c>
      <c r="P11" s="44">
        <v>220</v>
      </c>
      <c r="Q11" s="44">
        <v>220</v>
      </c>
      <c r="R11" s="44" t="s">
        <v>14</v>
      </c>
      <c r="S11" s="44" t="s">
        <v>14</v>
      </c>
      <c r="T11" s="44">
        <v>200</v>
      </c>
    </row>
    <row r="12" spans="2:20" x14ac:dyDescent="0.25">
      <c r="B12" s="102" t="s">
        <v>56</v>
      </c>
      <c r="C12" s="101">
        <f ca="1">IF($D$12=0,IF(C8="",IF(AND($C$7&lt;&gt;"",NOT(ISERROR(MATCH($C$7,INDIRECT($C$4&amp;"ListTable["&amp;INDIRECT("$C$4")&amp;"List]"),0)))),IF(ISNUMBER(MATCH(INDEX(INDIRECT($C$4&amp;"[Jig type]"),MATCH($C$7,INDIRECT($C$4&amp;"ListTable["&amp;INDIRECT("$C$4")&amp;"List]"),0)),JigListsTable[JigsToolsNC],0)),NotAvailable,IF(ISNUMBER(INDEX(INDIRECT($C$4&amp;"[Jig dia M]"),MATCH($C$7,INDIRECT($C$4&amp;"ListTable["&amp;INDIRECT("$C$4")&amp;"List]"),0))),INDEX(INDIRECT($C$4&amp;"[Jig dia M]"),MATCH($C$7,INDIRECT($C$4&amp;"ListTable["&amp;INDIRECT("$C$4")&amp;"List]"),0)),IF($C$4=SheetName02,DefaultTJD,DefaultKJD))),IF($C$4=SheetName02,DefaultTJD,DefaultKJD)),IF(NOT(ISERROR(MATCH($C$8,Jigs!$D6:$D105,0))),IF(AND(ISNUMBER(INDEX(Jigs!$F6:$F105,MATCH($C$8,Jigs!$D$6:$D$105,0))),INDEX(Jigs!$F6:$F105,MATCH($C$8,Jigs!$D$6:$D$105,0))&gt;0),INDEX(Jigs!$F6:$F105,MATCH($C$8,Jigs!$D$6:$D$105,0)),IF($C$4=SheetName02,DefaultTJD,DefaultKJD)),IF($C$4=SheetName02,DefaultTJD,DefaultKJD))),$D$12)</f>
        <v>12</v>
      </c>
      <c r="D12" s="1"/>
      <c r="E12" s="13"/>
      <c r="F12" s="25" t="s">
        <v>46</v>
      </c>
      <c r="G12" s="4">
        <v>250</v>
      </c>
      <c r="H12" s="4">
        <v>249</v>
      </c>
      <c r="I12" s="4">
        <v>253.5</v>
      </c>
      <c r="J12" s="4">
        <v>248.5</v>
      </c>
      <c r="K12" s="4">
        <v>254</v>
      </c>
      <c r="L12" s="4">
        <v>250</v>
      </c>
      <c r="M12" s="4">
        <v>250</v>
      </c>
      <c r="N12" s="4">
        <v>250</v>
      </c>
      <c r="O12" s="4">
        <v>215</v>
      </c>
      <c r="P12" s="4">
        <v>214.5</v>
      </c>
      <c r="Q12" s="4">
        <v>214.8</v>
      </c>
      <c r="R12" s="4">
        <v>250</v>
      </c>
      <c r="S12" s="4">
        <v>250</v>
      </c>
      <c r="T12" s="4">
        <v>195</v>
      </c>
    </row>
    <row r="13" spans="2:20" x14ac:dyDescent="0.25">
      <c r="B13" s="102" t="s">
        <v>60</v>
      </c>
      <c r="C13" s="101">
        <f>IF(OR($D$13&lt;Min_FVB_Distance,ISTEXT($D$13)),DefaultFVBDistance,$D$13)</f>
        <v>24.5</v>
      </c>
      <c r="D13" s="1"/>
      <c r="E13" s="13"/>
      <c r="F13" s="110" t="s">
        <v>197</v>
      </c>
      <c r="G13" s="143"/>
      <c r="H13" s="143"/>
      <c r="I13" s="143"/>
      <c r="J13" s="143"/>
      <c r="K13" s="143"/>
      <c r="L13" s="143"/>
      <c r="M13" s="143" t="s">
        <v>187</v>
      </c>
      <c r="N13" s="143" t="s">
        <v>188</v>
      </c>
      <c r="O13" s="143"/>
      <c r="P13" s="143"/>
      <c r="Q13" s="143"/>
      <c r="R13" s="143"/>
      <c r="S13" s="143"/>
      <c r="T13" s="143" t="s">
        <v>189</v>
      </c>
    </row>
    <row r="14" spans="2:20" x14ac:dyDescent="0.25">
      <c r="B14" s="96" t="str">
        <f ca="1">IF(AND($C$7&lt;&gt;"",NOT(ISERROR(MATCH($C$7,INDIRECT($C$4&amp;"ListTable["&amp;INDIRECT("$C$4")&amp;"List]"),0)))),
IF($C$4=SheetName01,"Last used jig | Clamping from Guard / Spine [mm]",IF($C$4=SheetName02,"Last used jig | Clamping from Jig / Side [mm]","")),"")</f>
        <v>Last used jig | Clamping from Guard / Spine [mm]</v>
      </c>
      <c r="C14" s="219" t="str">
        <f ca="1">IF(AND($C$7&lt;&gt;"",NOT(ISERROR(MATCH($C$7,INDIRECT($C$4&amp;"ListTable["&amp;INDIRECT("$C$4")&amp;"List]"),0)))),IF(INDEX(INDIRECT($C$4&amp;"[Jig type]"),MATCH($C$7,INDIRECT($C$4&amp;"ListTable["&amp;INDIRECT("$C$4")&amp;"List]"),0))&lt;&gt;"",INDEX(INDIRECT($C$4&amp;"[Jig type]"),MATCH($C$7,INDIRECT($C$4&amp;"ListTable["&amp;INDIRECT("$C$4")&amp;"List]"),0)),NotAvailable),"")</f>
        <v>SVM-45 E</v>
      </c>
      <c r="D14" s="219" t="str">
        <f ca="1">IF(AND($C$7&lt;&gt;"",NOT(ISERROR(MATCH($C$7,INDIRECT($C$4&amp;"ListTable["&amp;INDIRECT("$C$4")&amp;"List]"),0)))),IF(INDEX(INDIRECT($C$4&amp;"[from G]"),MATCH($C$7,INDIRECT($C$4&amp;"ListTable["&amp;INDIRECT("$C$4")&amp;"List]"),0))&lt;&gt;"",TEXT(INDEX(INDIRECT($C$4&amp;"[from G]"),MATCH($C$7,INDIRECT($C$4&amp;"ListTable["&amp;INDIRECT("$C$4")&amp;"List]"),0)),"0,0"),"?")&amp;" / "&amp;IF(INDEX(INDIRECT($C$4&amp;"[from S]"),MATCH($C$7,INDIRECT($C$4&amp;"ListTable["&amp;INDIRECT("$C$4")&amp;"List]"),0))&lt;&gt;"",TEXT(INDEX(INDIRECT($C$4&amp;"[from S]"),MATCH($C$7,INDIRECT($C$4&amp;"ListTable["&amp;INDIRECT("$C$4")&amp;"List]"),0)),"0,0"),"?"),"")</f>
        <v>4,0 / 11,5</v>
      </c>
      <c r="E14" s="13"/>
      <c r="F14" s="104"/>
      <c r="G14" s="105"/>
      <c r="H14" s="105"/>
      <c r="I14" s="105"/>
      <c r="J14" s="105"/>
      <c r="K14" s="105"/>
      <c r="L14" s="105"/>
      <c r="M14" s="105"/>
      <c r="N14" s="105"/>
      <c r="O14" s="105"/>
      <c r="P14" s="105"/>
      <c r="Q14" s="105"/>
      <c r="R14" s="105"/>
      <c r="S14" s="105"/>
      <c r="T14" s="105"/>
    </row>
    <row r="15" spans="2:20" x14ac:dyDescent="0.25">
      <c r="B15" s="97" t="str">
        <f ca="1">IF(AND($C$7&lt;&gt;"",NOT(ISERROR(MATCH($C$7,INDIRECT($C$4&amp;"ListTable["&amp;INDIRECT("$C$4")&amp;"List]"),0)))),
IF(INDEX(INDIRECT($C$4&amp;"[Jig setting]"),MATCH($C$7,INDIRECT($C$4&amp;"ListTable["&amp;INDIRECT("$C$4")&amp;"List]"),0))&lt;&gt;"","Last jig setting",""),"")</f>
        <v/>
      </c>
      <c r="C15" s="238" t="str">
        <f ca="1">IF(AND($C$7&lt;&gt;"",NOT(ISERROR(MATCH($C$7,INDIRECT($C$4&amp;"ListTable["&amp;INDIRECT("$C$4")&amp;"List]"),0)))),
IF(INDEX(INDIRECT($C$4&amp;"[Jig setting]"),MATCH($C$7,INDIRECT($C$4&amp;"ListTable["&amp;INDIRECT("$C$4")&amp;"List]"),0))&lt;&gt;"",TEXT(INDEX(INDIRECT($C$4&amp;"[Jig setting]"),MATCH($C$7,INDIRECT($C$4&amp;"ListTable["&amp;INDIRECT("$C$4")&amp;"List]"),0)),"0"),""),"")</f>
        <v/>
      </c>
      <c r="D15" s="239"/>
      <c r="E15" s="13"/>
      <c r="F15" s="29" t="s">
        <v>82</v>
      </c>
      <c r="G15" s="30">
        <f ca="1">IF(G13="",IF(ISERROR(SQRT(VariableCG^2+(G12/2)^2+2*VariableCG*(G12/2)*SIN(RADIANS(VariableGA-VariableDK)))+VariableUSBDia/2-(G12/2)),"-",IF(SQRT(VariableCG^2+(G12/2)^2+2*VariableCG*(G12/2)*SIN(RADIANS(VariableGA-VariableDK)))+VariableUSBDia/2-(G12/2)&lt;0,"-",SQRT(VariableCG^2+(G12/2)^2+2*VariableCG*(G12/2)*SIN(RADIANS(VariableGA-VariableDK)))+VariableUSBDia/2-(G12/2))),IF(OR(ISERROR(SQRT(VLOOKUP(MachinesCG,Machines[],MATCH(G13,Machines[#Headers],0),FALSE)^2+(G12/2)^2+2*VLOOKUP(MachinesCG,Machines[],MATCH(G13,Machines[#Headers],0),FALSE)*(G12/2)*SIN(RADIANS(VariableGA-VLOOKUP(MachinesAO,Machines[],MATCH(G13,Machines[#Headers],0),FALSE))))+VLOOKUP(MachinesUSBDia,Machines[],MATCH(G13,Machines[#Headers],0),FALSE)/2-(G12/2)),NOT(ISNUMBER(VLOOKUP(MachinesUSBDia,Machines[],MATCH(G13,Machines[#Headers],0),FALSE)))),"-",IF(SQRT(VLOOKUP(MachinesCG,Machines[],MATCH(G13,Machines[#Headers],0),FALSE)^2+(G12/2)^2+2*VLOOKUP(MachinesCG,Machines[],MATCH(G13,Machines[#Headers],0),FALSE)*(G12/2)*SIN(RADIANS(VariableGA-VLOOKUP(MachinesAO,Machines[],MATCH(G13,Machines[#Headers],0),FALSE))))+VLOOKUP(MachinesUSBDia,Machines[],MATCH(G13,Machines[#Headers],0),FALSE)/2-(G12/2)&lt;0,"-",SQRT(VLOOKUP(MachinesCG,Machines[],MATCH(G13,Machines[#Headers],0),FALSE)^2+(G12/2)^2+2*VLOOKUP(MachinesCG,Machines[],MATCH(G13,Machines[#Headers],0),FALSE)*(G12/2)*SIN(RADIANS(VariableGA-VLOOKUP(MachinesAO,Machines[],MATCH(G13,Machines[#Headers],0),FALSE))))+VLOOKUP(MachinesUSBDia,Machines[],MATCH(G13,Machines[#Headers],0),FALSE)/2-(G12/2))))</f>
        <v>85.109252282666858</v>
      </c>
      <c r="H15" s="30">
        <f ca="1">IF(H13="",IF(ISERROR(SQRT(VariableCG^2+(H12/2)^2+2*VariableCG*(H12/2)*SIN(RADIANS(VariableGA-VariableDK)))+VariableUSBDia/2-(H12/2)),"-",IF(SQRT(VariableCG^2+(H12/2)^2+2*VariableCG*(H12/2)*SIN(RADIANS(VariableGA-VariableDK)))+VariableUSBDia/2-(H12/2)&lt;0,"-",SQRT(VariableCG^2+(H12/2)^2+2*VariableCG*(H12/2)*SIN(RADIANS(VariableGA-VariableDK)))+VariableUSBDia/2-(H12/2))),IF(OR(ISERROR(SQRT(VLOOKUP(MachinesCG,Machines[],MATCH(H13,Machines[#Headers],0),FALSE)^2+(H12/2)^2+2*VLOOKUP(MachinesCG,Machines[],MATCH(H13,Machines[#Headers],0),FALSE)*(H12/2)*SIN(RADIANS(VariableGA-VLOOKUP(MachinesAO,Machines[],MATCH(H13,Machines[#Headers],0),FALSE))))+VLOOKUP(MachinesUSBDia,Machines[],MATCH(H13,Machines[#Headers],0),FALSE)/2-(H12/2)),NOT(ISNUMBER(VLOOKUP(MachinesUSBDia,Machines[],MATCH(H13,Machines[#Headers],0),FALSE)))),"-",IF(SQRT(VLOOKUP(MachinesCG,Machines[],MATCH(H13,Machines[#Headers],0),FALSE)^2+(H12/2)^2+2*VLOOKUP(MachinesCG,Machines[],MATCH(H13,Machines[#Headers],0),FALSE)*(H12/2)*SIN(RADIANS(VariableGA-VLOOKUP(MachinesAO,Machines[],MATCH(H13,Machines[#Headers],0),FALSE))))+VLOOKUP(MachinesUSBDia,Machines[],MATCH(H13,Machines[#Headers],0),FALSE)/2-(H12/2)&lt;0,"-",SQRT(VLOOKUP(MachinesCG,Machines[],MATCH(H13,Machines[#Headers],0),FALSE)^2+(H12/2)^2+2*VLOOKUP(MachinesCG,Machines[],MATCH(H13,Machines[#Headers],0),FALSE)*(H12/2)*SIN(RADIANS(VariableGA-VLOOKUP(MachinesAO,Machines[],MATCH(H13,Machines[#Headers],0),FALSE))))+VLOOKUP(MachinesUSBDia,Machines[],MATCH(H13,Machines[#Headers],0),FALSE)/2-(H12/2))))</f>
        <v>85.220314450767972</v>
      </c>
      <c r="I15" s="30">
        <f ca="1">IF(I13="",IF(ISERROR(SQRT(VariableCG^2+(I12/2)^2+2*VariableCG*(I12/2)*SIN(RADIANS(VariableGA-VariableDK)))+VariableUSBDia/2-(I12/2)),"-",IF(SQRT(VariableCG^2+(I12/2)^2+2*VariableCG*(I12/2)*SIN(RADIANS(VariableGA-VariableDK)))+VariableUSBDia/2-(I12/2)&lt;0,"-",SQRT(VariableCG^2+(I12/2)^2+2*VariableCG*(I12/2)*SIN(RADIANS(VariableGA-VariableDK)))+VariableUSBDia/2-(I12/2))),IF(OR(ISERROR(SQRT(VLOOKUP(MachinesCG,Machines[],MATCH(I13,Machines[#Headers],0),FALSE)^2+(I12/2)^2+2*VLOOKUP(MachinesCG,Machines[],MATCH(I13,Machines[#Headers],0),FALSE)*(I12/2)*SIN(RADIANS(VariableGA-VLOOKUP(MachinesAO,Machines[],MATCH(I13,Machines[#Headers],0),FALSE))))+VLOOKUP(MachinesUSBDia,Machines[],MATCH(I13,Machines[#Headers],0),FALSE)/2-(I12/2)),NOT(ISNUMBER(VLOOKUP(MachinesUSBDia,Machines[],MATCH(I13,Machines[#Headers],0),FALSE)))),"-",IF(SQRT(VLOOKUP(MachinesCG,Machines[],MATCH(I13,Machines[#Headers],0),FALSE)^2+(I12/2)^2+2*VLOOKUP(MachinesCG,Machines[],MATCH(I13,Machines[#Headers],0),FALSE)*(I12/2)*SIN(RADIANS(VariableGA-VLOOKUP(MachinesAO,Machines[],MATCH(I13,Machines[#Headers],0),FALSE))))+VLOOKUP(MachinesUSBDia,Machines[],MATCH(I13,Machines[#Headers],0),FALSE)/2-(I12/2)&lt;0,"-",SQRT(VLOOKUP(MachinesCG,Machines[],MATCH(I13,Machines[#Headers],0),FALSE)^2+(I12/2)^2+2*VLOOKUP(MachinesCG,Machines[],MATCH(I13,Machines[#Headers],0),FALSE)*(I12/2)*SIN(RADIANS(VariableGA-VLOOKUP(MachinesAO,Machines[],MATCH(I13,Machines[#Headers],0),FALSE))))+VLOOKUP(MachinesUSBDia,Machines[],MATCH(I13,Machines[#Headers],0),FALSE)/2-(I12/2))))</f>
        <v>84.7243185498684</v>
      </c>
      <c r="J15" s="30">
        <f ca="1">IF(J13="",IF(ISERROR(SQRT(VariableCG^2+(J12/2)^2+2*VariableCG*(J12/2)*SIN(RADIANS(VariableGA-VariableDK)))+VariableUSBDia/2-(J12/2)),"-",IF(SQRT(VariableCG^2+(J12/2)^2+2*VariableCG*(J12/2)*SIN(RADIANS(VariableGA-VariableDK)))+VariableUSBDia/2-(J12/2)&lt;0,"-",SQRT(VariableCG^2+(J12/2)^2+2*VariableCG*(J12/2)*SIN(RADIANS(VariableGA-VariableDK)))+VariableUSBDia/2-(J12/2))),IF(OR(ISERROR(SQRT(VLOOKUP(MachinesCG,Machines[],MATCH(J13,Machines[#Headers],0),FALSE)^2+(J12/2)^2+2*VLOOKUP(MachinesCG,Machines[],MATCH(J13,Machines[#Headers],0),FALSE)*(J12/2)*SIN(RADIANS(VariableGA-VLOOKUP(MachinesAO,Machines[],MATCH(J13,Machines[#Headers],0),FALSE))))+VLOOKUP(MachinesUSBDia,Machines[],MATCH(J13,Machines[#Headers],0),FALSE)/2-(J12/2)),NOT(ISNUMBER(VLOOKUP(MachinesUSBDia,Machines[],MATCH(J13,Machines[#Headers],0),FALSE)))),"-",IF(SQRT(VLOOKUP(MachinesCG,Machines[],MATCH(J13,Machines[#Headers],0),FALSE)^2+(J12/2)^2+2*VLOOKUP(MachinesCG,Machines[],MATCH(J13,Machines[#Headers],0),FALSE)*(J12/2)*SIN(RADIANS(VariableGA-VLOOKUP(MachinesAO,Machines[],MATCH(J13,Machines[#Headers],0),FALSE))))+VLOOKUP(MachinesUSBDia,Machines[],MATCH(J13,Machines[#Headers],0),FALSE)/2-(J12/2)&lt;0,"-",SQRT(VLOOKUP(MachinesCG,Machines[],MATCH(J13,Machines[#Headers],0),FALSE)^2+(J12/2)^2+2*VLOOKUP(MachinesCG,Machines[],MATCH(J13,Machines[#Headers],0),FALSE)*(J12/2)*SIN(RADIANS(VariableGA-VLOOKUP(MachinesAO,Machines[],MATCH(J13,Machines[#Headers],0),FALSE))))+VLOOKUP(MachinesUSBDia,Machines[],MATCH(J13,Machines[#Headers],0),FALSE)/2-(J12/2))))</f>
        <v>85.276027441664098</v>
      </c>
      <c r="K15" s="30">
        <f ca="1">IF(K13="",IF(ISERROR(SQRT(VariableCG^2+(K12/2)^2+2*VariableCG*(K12/2)*SIN(RADIANS(VariableGA-VariableDK)))+VariableUSBDia/2-(K12/2)),"-",IF(SQRT(VariableCG^2+(K12/2)^2+2*VariableCG*(K12/2)*SIN(RADIANS(VariableGA-VariableDK)))+VariableUSBDia/2-(K12/2)&lt;0,"-",SQRT(VariableCG^2+(K12/2)^2+2*VariableCG*(K12/2)*SIN(RADIANS(VariableGA-VariableDK)))+VariableUSBDia/2-(K12/2))),IF(OR(ISERROR(SQRT(VLOOKUP(MachinesCG,Machines[],MATCH(K13,Machines[#Headers],0),FALSE)^2+(K12/2)^2+2*VLOOKUP(MachinesCG,Machines[],MATCH(K13,Machines[#Headers],0),FALSE)*(K12/2)*SIN(RADIANS(VariableGA-VLOOKUP(MachinesAO,Machines[],MATCH(K13,Machines[#Headers],0),FALSE))))+VLOOKUP(MachinesUSBDia,Machines[],MATCH(K13,Machines[#Headers],0),FALSE)/2-(K12/2)),NOT(ISNUMBER(VLOOKUP(MachinesUSBDia,Machines[],MATCH(K13,Machines[#Headers],0),FALSE)))),"-",IF(SQRT(VLOOKUP(MachinesCG,Machines[],MATCH(K13,Machines[#Headers],0),FALSE)^2+(K12/2)^2+2*VLOOKUP(MachinesCG,Machines[],MATCH(K13,Machines[#Headers],0),FALSE)*(K12/2)*SIN(RADIANS(VariableGA-VLOOKUP(MachinesAO,Machines[],MATCH(K13,Machines[#Headers],0),FALSE))))+VLOOKUP(MachinesUSBDia,Machines[],MATCH(K13,Machines[#Headers],0),FALSE)/2-(K12/2)&lt;0,"-",SQRT(VLOOKUP(MachinesCG,Machines[],MATCH(K13,Machines[#Headers],0),FALSE)^2+(K12/2)^2+2*VLOOKUP(MachinesCG,Machines[],MATCH(K13,Machines[#Headers],0),FALSE)*(K12/2)*SIN(RADIANS(VariableGA-VLOOKUP(MachinesAO,Machines[],MATCH(K13,Machines[#Headers],0),FALSE))))+VLOOKUP(MachinesUSBDia,Machines[],MATCH(K13,Machines[#Headers],0),FALSE)/2-(K12/2))))</f>
        <v>84.669803951060288</v>
      </c>
      <c r="L15" s="30">
        <f ca="1">IF(L13="",IF(ISERROR(SQRT(VariableCG^2+(L12/2)^2+2*VariableCG*(L12/2)*SIN(RADIANS(VariableGA-VariableDK)))+VariableUSBDia/2-(L12/2)),"-",IF(SQRT(VariableCG^2+(L12/2)^2+2*VariableCG*(L12/2)*SIN(RADIANS(VariableGA-VariableDK)))+VariableUSBDia/2-(L12/2)&lt;0,"-",SQRT(VariableCG^2+(L12/2)^2+2*VariableCG*(L12/2)*SIN(RADIANS(VariableGA-VariableDK)))+VariableUSBDia/2-(L12/2))),IF(OR(ISERROR(SQRT(VLOOKUP(MachinesCG,Machines[],MATCH(L13,Machines[#Headers],0),FALSE)^2+(L12/2)^2+2*VLOOKUP(MachinesCG,Machines[],MATCH(L13,Machines[#Headers],0),FALSE)*(L12/2)*SIN(RADIANS(VariableGA-VLOOKUP(MachinesAO,Machines[],MATCH(L13,Machines[#Headers],0),FALSE))))+VLOOKUP(MachinesUSBDia,Machines[],MATCH(L13,Machines[#Headers],0),FALSE)/2-(L12/2)),NOT(ISNUMBER(VLOOKUP(MachinesUSBDia,Machines[],MATCH(L13,Machines[#Headers],0),FALSE)))),"-",IF(SQRT(VLOOKUP(MachinesCG,Machines[],MATCH(L13,Machines[#Headers],0),FALSE)^2+(L12/2)^2+2*VLOOKUP(MachinesCG,Machines[],MATCH(L13,Machines[#Headers],0),FALSE)*(L12/2)*SIN(RADIANS(VariableGA-VLOOKUP(MachinesAO,Machines[],MATCH(L13,Machines[#Headers],0),FALSE))))+VLOOKUP(MachinesUSBDia,Machines[],MATCH(L13,Machines[#Headers],0),FALSE)/2-(L12/2)&lt;0,"-",SQRT(VLOOKUP(MachinesCG,Machines[],MATCH(L13,Machines[#Headers],0),FALSE)^2+(L12/2)^2+2*VLOOKUP(MachinesCG,Machines[],MATCH(L13,Machines[#Headers],0),FALSE)*(L12/2)*SIN(RADIANS(VariableGA-VLOOKUP(MachinesAO,Machines[],MATCH(L13,Machines[#Headers],0),FALSE))))+VLOOKUP(MachinesUSBDia,Machines[],MATCH(L13,Machines[#Headers],0),FALSE)/2-(L12/2))))</f>
        <v>85.109252282666858</v>
      </c>
      <c r="M15" s="30">
        <f ca="1">IF(M13="",IF(ISERROR(SQRT(VariableCG^2+(M12/2)^2+2*VariableCG*(M12/2)*SIN(RADIANS(VariableGA-VariableDK)))+VariableUSBDia/2-(M12/2)),"-",IF(SQRT(VariableCG^2+(M12/2)^2+2*VariableCG*(M12/2)*SIN(RADIANS(VariableGA-VariableDK)))+VariableUSBDia/2-(M12/2)&lt;0,"-",SQRT(VariableCG^2+(M12/2)^2+2*VariableCG*(M12/2)*SIN(RADIANS(VariableGA-VariableDK)))+VariableUSBDia/2-(M12/2))),IF(OR(ISERROR(SQRT(VLOOKUP(MachinesCG,Machines[],MATCH(M13,Machines[#Headers],0),FALSE)^2+(M12/2)^2+2*VLOOKUP(MachinesCG,Machines[],MATCH(M13,Machines[#Headers],0),FALSE)*(M12/2)*SIN(RADIANS(VariableGA-VLOOKUP(MachinesAO,Machines[],MATCH(M13,Machines[#Headers],0),FALSE))))+VLOOKUP(MachinesUSBDia,Machines[],MATCH(M13,Machines[#Headers],0),FALSE)/2-(M12/2)),NOT(ISNUMBER(VLOOKUP(MachinesUSBDia,Machines[],MATCH(M13,Machines[#Headers],0),FALSE)))),"-",IF(SQRT(VLOOKUP(MachinesCG,Machines[],MATCH(M13,Machines[#Headers],0),FALSE)^2+(M12/2)^2+2*VLOOKUP(MachinesCG,Machines[],MATCH(M13,Machines[#Headers],0),FALSE)*(M12/2)*SIN(RADIANS(VariableGA-VLOOKUP(MachinesAO,Machines[],MATCH(M13,Machines[#Headers],0),FALSE))))+VLOOKUP(MachinesUSBDia,Machines[],MATCH(M13,Machines[#Headers],0),FALSE)/2-(M12/2)&lt;0,"-",SQRT(VLOOKUP(MachinesCG,Machines[],MATCH(M13,Machines[#Headers],0),FALSE)^2+(M12/2)^2+2*VLOOKUP(MachinesCG,Machines[],MATCH(M13,Machines[#Headers],0),FALSE)*(M12/2)*SIN(RADIANS(VariableGA-VLOOKUP(MachinesAO,Machines[],MATCH(M13,Machines[#Headers],0),FALSE))))+VLOOKUP(MachinesUSBDia,Machines[],MATCH(M13,Machines[#Headers],0),FALSE)/2-(M12/2))))</f>
        <v>85.109252282666858</v>
      </c>
      <c r="N15" s="30">
        <f ca="1">IF(N13="",IF(ISERROR(SQRT(VariableCG^2+(N12/2)^2+2*VariableCG*(N12/2)*SIN(RADIANS(VariableGA-VariableDK)))+VariableUSBDia/2-(N12/2)),"-",IF(SQRT(VariableCG^2+(N12/2)^2+2*VariableCG*(N12/2)*SIN(RADIANS(VariableGA-VariableDK)))+VariableUSBDia/2-(N12/2)&lt;0,"-",SQRT(VariableCG^2+(N12/2)^2+2*VariableCG*(N12/2)*SIN(RADIANS(VariableGA-VariableDK)))+VariableUSBDia/2-(N12/2))),IF(OR(ISERROR(SQRT(VLOOKUP(MachinesCG,Machines[],MATCH(N13,Machines[#Headers],0),FALSE)^2+(N12/2)^2+2*VLOOKUP(MachinesCG,Machines[],MATCH(N13,Machines[#Headers],0),FALSE)*(N12/2)*SIN(RADIANS(VariableGA-VLOOKUP(MachinesAO,Machines[],MATCH(N13,Machines[#Headers],0),FALSE))))+VLOOKUP(MachinesUSBDia,Machines[],MATCH(N13,Machines[#Headers],0),FALSE)/2-(N12/2)),NOT(ISNUMBER(VLOOKUP(MachinesUSBDia,Machines[],MATCH(N13,Machines[#Headers],0),FALSE)))),"-",IF(SQRT(VLOOKUP(MachinesCG,Machines[],MATCH(N13,Machines[#Headers],0),FALSE)^2+(N12/2)^2+2*VLOOKUP(MachinesCG,Machines[],MATCH(N13,Machines[#Headers],0),FALSE)*(N12/2)*SIN(RADIANS(VariableGA-VLOOKUP(MachinesAO,Machines[],MATCH(N13,Machines[#Headers],0),FALSE))))+VLOOKUP(MachinesUSBDia,Machines[],MATCH(N13,Machines[#Headers],0),FALSE)/2-(N12/2)&lt;0,"-",SQRT(VLOOKUP(MachinesCG,Machines[],MATCH(N13,Machines[#Headers],0),FALSE)^2+(N12/2)^2+2*VLOOKUP(MachinesCG,Machines[],MATCH(N13,Machines[#Headers],0),FALSE)*(N12/2)*SIN(RADIANS(VariableGA-VLOOKUP(MachinesAO,Machines[],MATCH(N13,Machines[#Headers],0),FALSE))))+VLOOKUP(MachinesUSBDia,Machines[],MATCH(N13,Machines[#Headers],0),FALSE)/2-(N12/2))))</f>
        <v>85.109252282666858</v>
      </c>
      <c r="O15" s="30">
        <f ca="1">IF(O13="",IF(ISERROR(SQRT(VariableCG^2+(O12/2)^2+2*VariableCG*(O12/2)*SIN(RADIANS(VariableGA-VariableDK)))+VariableUSBDia/2-(O12/2)),"-",IF(SQRT(VariableCG^2+(O12/2)^2+2*VariableCG*(O12/2)*SIN(RADIANS(VariableGA-VariableDK)))+VariableUSBDia/2-(O12/2)&lt;0,"-",SQRT(VariableCG^2+(O12/2)^2+2*VariableCG*(O12/2)*SIN(RADIANS(VariableGA-VariableDK)))+VariableUSBDia/2-(O12/2))),IF(OR(ISERROR(SQRT(VLOOKUP(MachinesCG,Machines[],MATCH(O13,Machines[#Headers],0),FALSE)^2+(O12/2)^2+2*VLOOKUP(MachinesCG,Machines[],MATCH(O13,Machines[#Headers],0),FALSE)*(O12/2)*SIN(RADIANS(VariableGA-VLOOKUP(MachinesAO,Machines[],MATCH(O13,Machines[#Headers],0),FALSE))))+VLOOKUP(MachinesUSBDia,Machines[],MATCH(O13,Machines[#Headers],0),FALSE)/2-(O12/2)),NOT(ISNUMBER(VLOOKUP(MachinesUSBDia,Machines[],MATCH(O13,Machines[#Headers],0),FALSE)))),"-",IF(SQRT(VLOOKUP(MachinesCG,Machines[],MATCH(O13,Machines[#Headers],0),FALSE)^2+(O12/2)^2+2*VLOOKUP(MachinesCG,Machines[],MATCH(O13,Machines[#Headers],0),FALSE)*(O12/2)*SIN(RADIANS(VariableGA-VLOOKUP(MachinesAO,Machines[],MATCH(O13,Machines[#Headers],0),FALSE))))+VLOOKUP(MachinesUSBDia,Machines[],MATCH(O13,Machines[#Headers],0),FALSE)/2-(O12/2)&lt;0,"-",SQRT(VLOOKUP(MachinesCG,Machines[],MATCH(O13,Machines[#Headers],0),FALSE)^2+(O12/2)^2+2*VLOOKUP(MachinesCG,Machines[],MATCH(O13,Machines[#Headers],0),FALSE)*(O12/2)*SIN(RADIANS(VariableGA-VLOOKUP(MachinesAO,Machines[],MATCH(O13,Machines[#Headers],0),FALSE))))+VLOOKUP(MachinesUSBDia,Machines[],MATCH(O13,Machines[#Headers],0),FALSE)/2-(O12/2))))</f>
        <v>89.304545820991478</v>
      </c>
      <c r="P15" s="30">
        <f ca="1">IF(P13="",IF(ISERROR(SQRT(VariableCG^2+(P12/2)^2+2*VariableCG*(P12/2)*SIN(RADIANS(VariableGA-VariableDK)))+VariableUSBDia/2-(P12/2)),"-",IF(SQRT(VariableCG^2+(P12/2)^2+2*VariableCG*(P12/2)*SIN(RADIANS(VariableGA-VariableDK)))+VariableUSBDia/2-(P12/2)&lt;0,"-",SQRT(VariableCG^2+(P12/2)^2+2*VariableCG*(P12/2)*SIN(RADIANS(VariableGA-VariableDK)))+VariableUSBDia/2-(P12/2))),IF(OR(ISERROR(SQRT(VLOOKUP(MachinesCG,Machines[],MATCH(P13,Machines[#Headers],0),FALSE)^2+(P12/2)^2+2*VLOOKUP(MachinesCG,Machines[],MATCH(P13,Machines[#Headers],0),FALSE)*(P12/2)*SIN(RADIANS(VariableGA-VLOOKUP(MachinesAO,Machines[],MATCH(P13,Machines[#Headers],0),FALSE))))+VLOOKUP(MachinesUSBDia,Machines[],MATCH(P13,Machines[#Headers],0),FALSE)/2-(P12/2)),NOT(ISNUMBER(VLOOKUP(MachinesUSBDia,Machines[],MATCH(P13,Machines[#Headers],0),FALSE)))),"-",IF(SQRT(VLOOKUP(MachinesCG,Machines[],MATCH(P13,Machines[#Headers],0),FALSE)^2+(P12/2)^2+2*VLOOKUP(MachinesCG,Machines[],MATCH(P13,Machines[#Headers],0),FALSE)*(P12/2)*SIN(RADIANS(VariableGA-VLOOKUP(MachinesAO,Machines[],MATCH(P13,Machines[#Headers],0),FALSE))))+VLOOKUP(MachinesUSBDia,Machines[],MATCH(P13,Machines[#Headers],0),FALSE)/2-(P12/2)&lt;0,"-",SQRT(VLOOKUP(MachinesCG,Machines[],MATCH(P13,Machines[#Headers],0),FALSE)^2+(P12/2)^2+2*VLOOKUP(MachinesCG,Machines[],MATCH(P13,Machines[#Headers],0),FALSE)*(P12/2)*SIN(RADIANS(VariableGA-VLOOKUP(MachinesAO,Machines[],MATCH(P13,Machines[#Headers],0),FALSE))))+VLOOKUP(MachinesUSBDia,Machines[],MATCH(P13,Machines[#Headers],0),FALSE)/2-(P12/2))))</f>
        <v>89.369390493779662</v>
      </c>
      <c r="Q15" s="30">
        <f ca="1">IF(Q13="",IF(ISERROR(SQRT(VariableCG^2+(Q12/2)^2+2*VariableCG*(Q12/2)*SIN(RADIANS(VariableGA-VariableDK)))+VariableUSBDia/2-(Q12/2)),"-",IF(SQRT(VariableCG^2+(Q12/2)^2+2*VariableCG*(Q12/2)*SIN(RADIANS(VariableGA-VariableDK)))+VariableUSBDia/2-(Q12/2)&lt;0,"-",SQRT(VariableCG^2+(Q12/2)^2+2*VariableCG*(Q12/2)*SIN(RADIANS(VariableGA-VariableDK)))+VariableUSBDia/2-(Q12/2))),IF(OR(ISERROR(SQRT(VLOOKUP(MachinesCG,Machines[],MATCH(Q13,Machines[#Headers],0),FALSE)^2+(Q12/2)^2+2*VLOOKUP(MachinesCG,Machines[],MATCH(Q13,Machines[#Headers],0),FALSE)*(Q12/2)*SIN(RADIANS(VariableGA-VLOOKUP(MachinesAO,Machines[],MATCH(Q13,Machines[#Headers],0),FALSE))))+VLOOKUP(MachinesUSBDia,Machines[],MATCH(Q13,Machines[#Headers],0),FALSE)/2-(Q12/2)),NOT(ISNUMBER(VLOOKUP(MachinesUSBDia,Machines[],MATCH(Q13,Machines[#Headers],0),FALSE)))),"-",IF(SQRT(VLOOKUP(MachinesCG,Machines[],MATCH(Q13,Machines[#Headers],0),FALSE)^2+(Q12/2)^2+2*VLOOKUP(MachinesCG,Machines[],MATCH(Q13,Machines[#Headers],0),FALSE)*(Q12/2)*SIN(RADIANS(VariableGA-VLOOKUP(MachinesAO,Machines[],MATCH(Q13,Machines[#Headers],0),FALSE))))+VLOOKUP(MachinesUSBDia,Machines[],MATCH(Q13,Machines[#Headers],0),FALSE)/2-(Q12/2)&lt;0,"-",SQRT(VLOOKUP(MachinesCG,Machines[],MATCH(Q13,Machines[#Headers],0),FALSE)^2+(Q12/2)^2+2*VLOOKUP(MachinesCG,Machines[],MATCH(Q13,Machines[#Headers],0),FALSE)*(Q12/2)*SIN(RADIANS(VariableGA-VLOOKUP(MachinesAO,Machines[],MATCH(Q13,Machines[#Headers],0),FALSE))))+VLOOKUP(MachinesUSBDia,Machines[],MATCH(Q13,Machines[#Headers],0),FALSE)/2-(Q12/2))))</f>
        <v>89.330465936779291</v>
      </c>
      <c r="R15" s="30">
        <f ca="1">IF(R13="",IF(ISERROR(SQRT(VariableCG^2+(R12/2)^2+2*VariableCG*(R12/2)*SIN(RADIANS(VariableGA-VariableDK)))+VariableUSBDia/2-(R12/2)),"-",IF(SQRT(VariableCG^2+(R12/2)^2+2*VariableCG*(R12/2)*SIN(RADIANS(VariableGA-VariableDK)))+VariableUSBDia/2-(R12/2)&lt;0,"-",SQRT(VariableCG^2+(R12/2)^2+2*VariableCG*(R12/2)*SIN(RADIANS(VariableGA-VariableDK)))+VariableUSBDia/2-(R12/2))),IF(OR(ISERROR(SQRT(VLOOKUP(MachinesCG,Machines[],MATCH(R13,Machines[#Headers],0),FALSE)^2+(R12/2)^2+2*VLOOKUP(MachinesCG,Machines[],MATCH(R13,Machines[#Headers],0),FALSE)*(R12/2)*SIN(RADIANS(VariableGA-VLOOKUP(MachinesAO,Machines[],MATCH(R13,Machines[#Headers],0),FALSE))))+VLOOKUP(MachinesUSBDia,Machines[],MATCH(R13,Machines[#Headers],0),FALSE)/2-(R12/2)),NOT(ISNUMBER(VLOOKUP(MachinesUSBDia,Machines[],MATCH(R13,Machines[#Headers],0),FALSE)))),"-",IF(SQRT(VLOOKUP(MachinesCG,Machines[],MATCH(R13,Machines[#Headers],0),FALSE)^2+(R12/2)^2+2*VLOOKUP(MachinesCG,Machines[],MATCH(R13,Machines[#Headers],0),FALSE)*(R12/2)*SIN(RADIANS(VariableGA-VLOOKUP(MachinesAO,Machines[],MATCH(R13,Machines[#Headers],0),FALSE))))+VLOOKUP(MachinesUSBDia,Machines[],MATCH(R13,Machines[#Headers],0),FALSE)/2-(R12/2)&lt;0,"-",SQRT(VLOOKUP(MachinesCG,Machines[],MATCH(R13,Machines[#Headers],0),FALSE)^2+(R12/2)^2+2*VLOOKUP(MachinesCG,Machines[],MATCH(R13,Machines[#Headers],0),FALSE)*(R12/2)*SIN(RADIANS(VariableGA-VLOOKUP(MachinesAO,Machines[],MATCH(R13,Machines[#Headers],0),FALSE))))+VLOOKUP(MachinesUSBDia,Machines[],MATCH(R13,Machines[#Headers],0),FALSE)/2-(R12/2))))</f>
        <v>85.109252282666858</v>
      </c>
      <c r="S15" s="30">
        <f ca="1">IF(S13="",IF(ISERROR(SQRT(VariableCG^2+(S12/2)^2+2*VariableCG*(S12/2)*SIN(RADIANS(VariableGA-VariableDK)))+VariableUSBDia/2-(S12/2)),"-",IF(SQRT(VariableCG^2+(S12/2)^2+2*VariableCG*(S12/2)*SIN(RADIANS(VariableGA-VariableDK)))+VariableUSBDia/2-(S12/2)&lt;0,"-",SQRT(VariableCG^2+(S12/2)^2+2*VariableCG*(S12/2)*SIN(RADIANS(VariableGA-VariableDK)))+VariableUSBDia/2-(S12/2))),IF(OR(ISERROR(SQRT(VLOOKUP(MachinesCG,Machines[],MATCH(S13,Machines[#Headers],0),FALSE)^2+(S12/2)^2+2*VLOOKUP(MachinesCG,Machines[],MATCH(S13,Machines[#Headers],0),FALSE)*(S12/2)*SIN(RADIANS(VariableGA-VLOOKUP(MachinesAO,Machines[],MATCH(S13,Machines[#Headers],0),FALSE))))+VLOOKUP(MachinesUSBDia,Machines[],MATCH(S13,Machines[#Headers],0),FALSE)/2-(S12/2)),NOT(ISNUMBER(VLOOKUP(MachinesUSBDia,Machines[],MATCH(S13,Machines[#Headers],0),FALSE)))),"-",IF(SQRT(VLOOKUP(MachinesCG,Machines[],MATCH(S13,Machines[#Headers],0),FALSE)^2+(S12/2)^2+2*VLOOKUP(MachinesCG,Machines[],MATCH(S13,Machines[#Headers],0),FALSE)*(S12/2)*SIN(RADIANS(VariableGA-VLOOKUP(MachinesAO,Machines[],MATCH(S13,Machines[#Headers],0),FALSE))))+VLOOKUP(MachinesUSBDia,Machines[],MATCH(S13,Machines[#Headers],0),FALSE)/2-(S12/2)&lt;0,"-",SQRT(VLOOKUP(MachinesCG,Machines[],MATCH(S13,Machines[#Headers],0),FALSE)^2+(S12/2)^2+2*VLOOKUP(MachinesCG,Machines[],MATCH(S13,Machines[#Headers],0),FALSE)*(S12/2)*SIN(RADIANS(VariableGA-VLOOKUP(MachinesAO,Machines[],MATCH(S13,Machines[#Headers],0),FALSE))))+VLOOKUP(MachinesUSBDia,Machines[],MATCH(S13,Machines[#Headers],0),FALSE)/2-(S12/2))))</f>
        <v>85.109252282666858</v>
      </c>
      <c r="T15" s="30">
        <f ca="1">IF(T13="",IF(ISERROR(SQRT(VariableCG^2+(T12/2)^2+2*VariableCG*(T12/2)*SIN(RADIANS(VariableGA-VariableDK)))+VariableUSBDia/2-(T12/2)),"-",IF(SQRT(VariableCG^2+(T12/2)^2+2*VariableCG*(T12/2)*SIN(RADIANS(VariableGA-VariableDK)))+VariableUSBDia/2-(T12/2)&lt;0,"-",SQRT(VariableCG^2+(T12/2)^2+2*VariableCG*(T12/2)*SIN(RADIANS(VariableGA-VariableDK)))+VariableUSBDia/2-(T12/2))),IF(OR(ISERROR(SQRT(VLOOKUP(MachinesCG,Machines[],MATCH(T13,Machines[#Headers],0),FALSE)^2+(T12/2)^2+2*VLOOKUP(MachinesCG,Machines[],MATCH(T13,Machines[#Headers],0),FALSE)*(T12/2)*SIN(RADIANS(VariableGA-VLOOKUP(MachinesAO,Machines[],MATCH(T13,Machines[#Headers],0),FALSE))))+VLOOKUP(MachinesUSBDia,Machines[],MATCH(T13,Machines[#Headers],0),FALSE)/2-(T12/2)),NOT(ISNUMBER(VLOOKUP(MachinesUSBDia,Machines[],MATCH(T13,Machines[#Headers],0),FALSE)))),"-",IF(SQRT(VLOOKUP(MachinesCG,Machines[],MATCH(T13,Machines[#Headers],0),FALSE)^2+(T12/2)^2+2*VLOOKUP(MachinesCG,Machines[],MATCH(T13,Machines[#Headers],0),FALSE)*(T12/2)*SIN(RADIANS(VariableGA-VLOOKUP(MachinesAO,Machines[],MATCH(T13,Machines[#Headers],0),FALSE))))+VLOOKUP(MachinesUSBDia,Machines[],MATCH(T13,Machines[#Headers],0),FALSE)/2-(T12/2)&lt;0,"-",SQRT(VLOOKUP(MachinesCG,Machines[],MATCH(T13,Machines[#Headers],0),FALSE)^2+(T12/2)^2+2*VLOOKUP(MachinesCG,Machines[],MATCH(T13,Machines[#Headers],0),FALSE)*(T12/2)*SIN(RADIANS(VariableGA-VLOOKUP(MachinesAO,Machines[],MATCH(T13,Machines[#Headers],0),FALSE))))+VLOOKUP(MachinesUSBDia,Machines[],MATCH(T13,Machines[#Headers],0),FALSE)/2-(T12/2))))</f>
        <v>92.018303600931546</v>
      </c>
    </row>
    <row r="16" spans="2:20" ht="15" customHeight="1" x14ac:dyDescent="0.25">
      <c r="B16" s="24" t="s">
        <v>59</v>
      </c>
      <c r="C16" s="12">
        <f>IF(OR($D$16=0,ISTEXT($D$16)),DefaultUSBDia,$D$16)</f>
        <v>12</v>
      </c>
      <c r="D16" s="2"/>
      <c r="E16" s="13"/>
      <c r="F16" s="31"/>
      <c r="G16" s="28"/>
      <c r="H16" s="28"/>
      <c r="I16" s="28"/>
      <c r="J16" s="28"/>
      <c r="K16" s="28"/>
      <c r="L16" s="28"/>
      <c r="M16" s="28"/>
      <c r="N16" s="28"/>
      <c r="O16" s="28"/>
      <c r="P16" s="28"/>
      <c r="Q16" s="28"/>
      <c r="R16" s="28"/>
      <c r="S16" s="28"/>
      <c r="T16" s="28"/>
    </row>
    <row r="17" spans="2:20" ht="15" customHeight="1" x14ac:dyDescent="0.25">
      <c r="B17" s="26" t="s">
        <v>62</v>
      </c>
      <c r="C17" s="12">
        <f>IF(OR($D$17=0,ISTEXT($D$17)),DefaultConstantHV,$D$17)</f>
        <v>49.9</v>
      </c>
      <c r="D17" s="2"/>
      <c r="E17" s="13"/>
      <c r="F17" s="32" t="s">
        <v>70</v>
      </c>
      <c r="G17" s="33">
        <f ca="1">IF(G13="",IF(ISERROR(SQRT(((G12/2)+(G$15-VariableUSBDia/2))^2-ConstantHV^2)-ConstantVV+VariableUSBDia/2),"-",IF(SQRT(((G12/2)+(G$15-VariableUSBDia/2))^2-ConstantHV^2)-ConstantVV+VariableUSBDia/2&lt;0,"-", SQRT(((G12/2)+(G$15-VariableUSBDia/2))^2-ConstantHV^2)-ConstantVV+VariableUSBDia/2)),IF(OR(ISERROR(SQRT(((G12/2)+(G$15-VLOOKUP(MachinesUSBDia,Machines[],MATCH(G13,Machines[#Headers],0),FALSE)/2))^2-VLOOKUP(MachinesConstantHV,Machines[],MATCH(G13,Machines[#Headers],0),FALSE)^2)-VLOOKUP(MachinesConstantVV,Machines[],MATCH(G13,Machines[#Headers],0),FALSE)+VLOOKUP(MachinesUSBDia,Machines[],MATCH(G13,Machines[#Headers],0),FALSE)/2),NOT(ISNUMBER(VLOOKUP(MachinesConstantHV,Machines[],MATCH(G13,Machines[#Headers],0),FALSE))),NOT(ISNUMBER(VLOOKUP(MachinesConstantVV,Machines[],MATCH(G13,Machines[#Headers],0),FALSE)))),"-",IF(SQRT(((G12/2)+(G$15-VLOOKUP(MachinesUSBDia,Machines[],MATCH(G13,Machines[#Headers],0),FALSE)/2))^2-VLOOKUP(MachinesConstantHV,Machines[],MATCH(G13,Machines[#Headers],0),FALSE)^2)-VLOOKUP(MachinesConstantVV,Machines[],MATCH(G13,Machines[#Headers],0),FALSE)+VLOOKUP(MachinesUSBDia,Machines[],MATCH(G13,Machines[#Headers],0),FALSE)/2&lt;0,"-", SQRT(((G12/2)+(G$15-VLOOKUP(MachinesUSBDia,Machines[],MATCH(G13,Machines[#Headers],0),FALSE)/2))^2-VLOOKUP(MachinesConstantHV,Machines[],MATCH(G13,Machines[#Headers],0),FALSE)^2)-VLOOKUP(MachinesConstantVV,Machines[],MATCH(G13,Machines[#Headers],0),FALSE)+VLOOKUP(MachinesUSBDia,Machines[],MATCH(G13,Machines[#Headers],0),FALSE)/2)))</f>
        <v>175.21558015322935</v>
      </c>
      <c r="H17" s="33">
        <f ca="1">IF(H13="",IF(ISERROR(SQRT(((H12/2)+(H$15-VariableUSBDia/2))^2-ConstantHV^2)-ConstantVV+VariableUSBDia/2),"-",IF(SQRT(((H12/2)+(H$15-VariableUSBDia/2))^2-ConstantHV^2)-ConstantVV+VariableUSBDia/2&lt;0,"-", SQRT(((H12/2)+(H$15-VariableUSBDia/2))^2-ConstantHV^2)-ConstantVV+VariableUSBDia/2)),IF(OR(ISERROR(SQRT(((H12/2)+(H$15-VLOOKUP(MachinesUSBDia,Machines[],MATCH(H13,Machines[#Headers],0),FALSE)/2))^2-VLOOKUP(MachinesConstantHV,Machines[],MATCH(H13,Machines[#Headers],0),FALSE)^2)-VLOOKUP(MachinesConstantVV,Machines[],MATCH(H13,Machines[#Headers],0),FALSE)+VLOOKUP(MachinesUSBDia,Machines[],MATCH(H13,Machines[#Headers],0),FALSE)/2),NOT(ISNUMBER(VLOOKUP(MachinesConstantHV,Machines[],MATCH(H13,Machines[#Headers],0),FALSE))),NOT(ISNUMBER(VLOOKUP(MachinesConstantVV,Machines[],MATCH(H13,Machines[#Headers],0),FALSE)))),"-",IF(SQRT(((H12/2)+(H$15-VLOOKUP(MachinesUSBDia,Machines[],MATCH(H13,Machines[#Headers],0),FALSE)/2))^2-VLOOKUP(MachinesConstantHV,Machines[],MATCH(H13,Machines[#Headers],0),FALSE)^2)-VLOOKUP(MachinesConstantVV,Machines[],MATCH(H13,Machines[#Headers],0),FALSE)+VLOOKUP(MachinesUSBDia,Machines[],MATCH(H13,Machines[#Headers],0),FALSE)/2&lt;0,"-", SQRT(((H12/2)+(H$15-VLOOKUP(MachinesUSBDia,Machines[],MATCH(H13,Machines[#Headers],0),FALSE)/2))^2-VLOOKUP(MachinesConstantHV,Machines[],MATCH(H13,Machines[#Headers],0),FALSE)^2)-VLOOKUP(MachinesConstantVV,Machines[],MATCH(H13,Machines[#Headers],0),FALSE)+VLOOKUP(MachinesUSBDia,Machines[],MATCH(H13,Machines[#Headers],0),FALSE)/2)))</f>
        <v>174.81444635752541</v>
      </c>
      <c r="I17" s="33">
        <f ca="1">IF(I13="",IF(ISERROR(SQRT(((I12/2)+(I$15-VariableUSBDia/2))^2-ConstantHV^2)-ConstantVV+VariableUSBDia/2),"-",IF(SQRT(((I12/2)+(I$15-VariableUSBDia/2))^2-ConstantHV^2)-ConstantVV+VariableUSBDia/2&lt;0,"-", SQRT(((I12/2)+(I$15-VariableUSBDia/2))^2-ConstantHV^2)-ConstantVV+VariableUSBDia/2)),IF(OR(ISERROR(SQRT(((I12/2)+(I$15-VLOOKUP(MachinesUSBDia,Machines[],MATCH(I13,Machines[#Headers],0),FALSE)/2))^2-VLOOKUP(MachinesConstantHV,Machines[],MATCH(I13,Machines[#Headers],0),FALSE)^2)-VLOOKUP(MachinesConstantVV,Machines[],MATCH(I13,Machines[#Headers],0),FALSE)+VLOOKUP(MachinesUSBDia,Machines[],MATCH(I13,Machines[#Headers],0),FALSE)/2),NOT(ISNUMBER(VLOOKUP(MachinesConstantHV,Machines[],MATCH(I13,Machines[#Headers],0),FALSE))),NOT(ISNUMBER(VLOOKUP(MachinesConstantVV,Machines[],MATCH(I13,Machines[#Headers],0),FALSE)))),"-",IF(SQRT(((I12/2)+(I$15-VLOOKUP(MachinesUSBDia,Machines[],MATCH(I13,Machines[#Headers],0),FALSE)/2))^2-VLOOKUP(MachinesConstantHV,Machines[],MATCH(I13,Machines[#Headers],0),FALSE)^2)-VLOOKUP(MachinesConstantVV,Machines[],MATCH(I13,Machines[#Headers],0),FALSE)+VLOOKUP(MachinesUSBDia,Machines[],MATCH(I13,Machines[#Headers],0),FALSE)/2&lt;0,"-", SQRT(((I12/2)+(I$15-VLOOKUP(MachinesUSBDia,Machines[],MATCH(I13,Machines[#Headers],0),FALSE)/2))^2-VLOOKUP(MachinesConstantHV,Machines[],MATCH(I13,Machines[#Headers],0),FALSE)^2)-VLOOKUP(MachinesConstantVV,Machines[],MATCH(I13,Machines[#Headers],0),FALSE)+VLOOKUP(MachinesUSBDia,Machines[],MATCH(I13,Machines[#Headers],0),FALSE)/2)))</f>
        <v>176.62306836774511</v>
      </c>
      <c r="J17" s="33">
        <f ca="1">IF(J13="",IF(ISERROR(SQRT(((J12/2)+(J$15-VariableUSBDia/2))^2-ConstantHV^2)-ConstantVV+VariableUSBDia/2),"-",IF(SQRT(((J12/2)+(J$15-VariableUSBDia/2))^2-ConstantHV^2)-ConstantVV+VariableUSBDia/2&lt;0,"-", SQRT(((J12/2)+(J$15-VariableUSBDia/2))^2-ConstantHV^2)-ConstantVV+VariableUSBDia/2)),IF(OR(ISERROR(SQRT(((J12/2)+(J$15-VLOOKUP(MachinesUSBDia,Machines[],MATCH(J13,Machines[#Headers],0),FALSE)/2))^2-VLOOKUP(MachinesConstantHV,Machines[],MATCH(J13,Machines[#Headers],0),FALSE)^2)-VLOOKUP(MachinesConstantVV,Machines[],MATCH(J13,Machines[#Headers],0),FALSE)+VLOOKUP(MachinesUSBDia,Machines[],MATCH(J13,Machines[#Headers],0),FALSE)/2),NOT(ISNUMBER(VLOOKUP(MachinesConstantHV,Machines[],MATCH(J13,Machines[#Headers],0),FALSE))),NOT(ISNUMBER(VLOOKUP(MachinesConstantVV,Machines[],MATCH(J13,Machines[#Headers],0),FALSE)))),"-",IF(SQRT(((J12/2)+(J$15-VLOOKUP(MachinesUSBDia,Machines[],MATCH(J13,Machines[#Headers],0),FALSE)/2))^2-VLOOKUP(MachinesConstantHV,Machines[],MATCH(J13,Machines[#Headers],0),FALSE)^2)-VLOOKUP(MachinesConstantVV,Machines[],MATCH(J13,Machines[#Headers],0),FALSE)+VLOOKUP(MachinesUSBDia,Machines[],MATCH(J13,Machines[#Headers],0),FALSE)/2&lt;0,"-", SQRT(((J12/2)+(J$15-VLOOKUP(MachinesUSBDia,Machines[],MATCH(J13,Machines[#Headers],0),FALSE)/2))^2-VLOOKUP(MachinesConstantHV,Machines[],MATCH(J13,Machines[#Headers],0),FALSE)^2)-VLOOKUP(MachinesConstantVV,Machines[],MATCH(J13,Machines[#Headers],0),FALSE)+VLOOKUP(MachinesUSBDia,Machines[],MATCH(J13,Machines[#Headers],0),FALSE)/2)))</f>
        <v>174.61404878057976</v>
      </c>
      <c r="K17" s="33">
        <f ca="1">IF(K13="",IF(ISERROR(SQRT(((K12/2)+(K$15-VariableUSBDia/2))^2-ConstantHV^2)-ConstantVV+VariableUSBDia/2),"-",IF(SQRT(((K12/2)+(K$15-VariableUSBDia/2))^2-ConstantHV^2)-ConstantVV+VariableUSBDia/2&lt;0,"-", SQRT(((K12/2)+(K$15-VariableUSBDia/2))^2-ConstantHV^2)-ConstantVV+VariableUSBDia/2)),IF(OR(ISERROR(SQRT(((K12/2)+(K$15-VLOOKUP(MachinesUSBDia,Machines[],MATCH(K13,Machines[#Headers],0),FALSE)/2))^2-VLOOKUP(MachinesConstantHV,Machines[],MATCH(K13,Machines[#Headers],0),FALSE)^2)-VLOOKUP(MachinesConstantVV,Machines[],MATCH(K13,Machines[#Headers],0),FALSE)+VLOOKUP(MachinesUSBDia,Machines[],MATCH(K13,Machines[#Headers],0),FALSE)/2),NOT(ISNUMBER(VLOOKUP(MachinesConstantHV,Machines[],MATCH(K13,Machines[#Headers],0),FALSE))),NOT(ISNUMBER(VLOOKUP(MachinesConstantVV,Machines[],MATCH(K13,Machines[#Headers],0),FALSE)))),"-",IF(SQRT(((K12/2)+(K$15-VLOOKUP(MachinesUSBDia,Machines[],MATCH(K13,Machines[#Headers],0),FALSE)/2))^2-VLOOKUP(MachinesConstantHV,Machines[],MATCH(K13,Machines[#Headers],0),FALSE)^2)-VLOOKUP(MachinesConstantVV,Machines[],MATCH(K13,Machines[#Headers],0),FALSE)+VLOOKUP(MachinesUSBDia,Machines[],MATCH(K13,Machines[#Headers],0),FALSE)/2&lt;0,"-", SQRT(((K12/2)+(K$15-VLOOKUP(MachinesUSBDia,Machines[],MATCH(K13,Machines[#Headers],0),FALSE)/2))^2-VLOOKUP(MachinesConstantHV,Machines[],MATCH(K13,Machines[#Headers],0),FALSE)^2)-VLOOKUP(MachinesConstantVV,Machines[],MATCH(K13,Machines[#Headers],0),FALSE)+VLOOKUP(MachinesUSBDia,Machines[],MATCH(K13,Machines[#Headers],0),FALSE)/2)))</f>
        <v>176.82458058411643</v>
      </c>
      <c r="L17" s="33">
        <f ca="1">IF(L13="",IF(ISERROR(SQRT(((L12/2)+(L$15-VariableUSBDia/2))^2-ConstantHV^2)-ConstantVV+VariableUSBDia/2),"-",IF(SQRT(((L12/2)+(L$15-VariableUSBDia/2))^2-ConstantHV^2)-ConstantVV+VariableUSBDia/2&lt;0,"-", SQRT(((L12/2)+(L$15-VariableUSBDia/2))^2-ConstantHV^2)-ConstantVV+VariableUSBDia/2)),IF(OR(ISERROR(SQRT(((L12/2)+(L$15-VLOOKUP(MachinesUSBDia,Machines[],MATCH(L13,Machines[#Headers],0),FALSE)/2))^2-VLOOKUP(MachinesConstantHV,Machines[],MATCH(L13,Machines[#Headers],0),FALSE)^2)-VLOOKUP(MachinesConstantVV,Machines[],MATCH(L13,Machines[#Headers],0),FALSE)+VLOOKUP(MachinesUSBDia,Machines[],MATCH(L13,Machines[#Headers],0),FALSE)/2),NOT(ISNUMBER(VLOOKUP(MachinesConstantHV,Machines[],MATCH(L13,Machines[#Headers],0),FALSE))),NOT(ISNUMBER(VLOOKUP(MachinesConstantVV,Machines[],MATCH(L13,Machines[#Headers],0),FALSE)))),"-",IF(SQRT(((L12/2)+(L$15-VLOOKUP(MachinesUSBDia,Machines[],MATCH(L13,Machines[#Headers],0),FALSE)/2))^2-VLOOKUP(MachinesConstantHV,Machines[],MATCH(L13,Machines[#Headers],0),FALSE)^2)-VLOOKUP(MachinesConstantVV,Machines[],MATCH(L13,Machines[#Headers],0),FALSE)+VLOOKUP(MachinesUSBDia,Machines[],MATCH(L13,Machines[#Headers],0),FALSE)/2&lt;0,"-", SQRT(((L12/2)+(L$15-VLOOKUP(MachinesUSBDia,Machines[],MATCH(L13,Machines[#Headers],0),FALSE)/2))^2-VLOOKUP(MachinesConstantHV,Machines[],MATCH(L13,Machines[#Headers],0),FALSE)^2)-VLOOKUP(MachinesConstantVV,Machines[],MATCH(L13,Machines[#Headers],0),FALSE)+VLOOKUP(MachinesUSBDia,Machines[],MATCH(L13,Machines[#Headers],0),FALSE)/2)))</f>
        <v>175.21558015322935</v>
      </c>
      <c r="M17" s="33">
        <f ca="1">IF(M13="",IF(ISERROR(SQRT(((M12/2)+(M$15-VariableUSBDia/2))^2-ConstantHV^2)-ConstantVV+VariableUSBDia/2),"-",IF(SQRT(((M12/2)+(M$15-VariableUSBDia/2))^2-ConstantHV^2)-ConstantVV+VariableUSBDia/2&lt;0,"-", SQRT(((M12/2)+(M$15-VariableUSBDia/2))^2-ConstantHV^2)-ConstantVV+VariableUSBDia/2)),IF(OR(ISERROR(SQRT(((M12/2)+(M$15-VLOOKUP(MachinesUSBDia,Machines[],MATCH(M13,Machines[#Headers],0),FALSE)/2))^2-VLOOKUP(MachinesConstantHV,Machines[],MATCH(M13,Machines[#Headers],0),FALSE)^2)-VLOOKUP(MachinesConstantVV,Machines[],MATCH(M13,Machines[#Headers],0),FALSE)+VLOOKUP(MachinesUSBDia,Machines[],MATCH(M13,Machines[#Headers],0),FALSE)/2),NOT(ISNUMBER(VLOOKUP(MachinesConstantHV,Machines[],MATCH(M13,Machines[#Headers],0),FALSE))),NOT(ISNUMBER(VLOOKUP(MachinesConstantVV,Machines[],MATCH(M13,Machines[#Headers],0),FALSE)))),"-",IF(SQRT(((M12/2)+(M$15-VLOOKUP(MachinesUSBDia,Machines[],MATCH(M13,Machines[#Headers],0),FALSE)/2))^2-VLOOKUP(MachinesConstantHV,Machines[],MATCH(M13,Machines[#Headers],0),FALSE)^2)-VLOOKUP(MachinesConstantVV,Machines[],MATCH(M13,Machines[#Headers],0),FALSE)+VLOOKUP(MachinesUSBDia,Machines[],MATCH(M13,Machines[#Headers],0),FALSE)/2&lt;0,"-", SQRT(((M12/2)+(M$15-VLOOKUP(MachinesUSBDia,Machines[],MATCH(M13,Machines[#Headers],0),FALSE)/2))^2-VLOOKUP(MachinesConstantHV,Machines[],MATCH(M13,Machines[#Headers],0),FALSE)^2)-VLOOKUP(MachinesConstantVV,Machines[],MATCH(M13,Machines[#Headers],0),FALSE)+VLOOKUP(MachinesUSBDia,Machines[],MATCH(M13,Machines[#Headers],0),FALSE)/2)))</f>
        <v>174.89034051057001</v>
      </c>
      <c r="N17" s="33">
        <f ca="1">IF(N13="",IF(ISERROR(SQRT(((N12/2)+(N$15-VariableUSBDia/2))^2-ConstantHV^2)-ConstantVV+VariableUSBDia/2),"-",IF(SQRT(((N12/2)+(N$15-VariableUSBDia/2))^2-ConstantHV^2)-ConstantVV+VariableUSBDia/2&lt;0,"-", SQRT(((N12/2)+(N$15-VariableUSBDia/2))^2-ConstantHV^2)-ConstantVV+VariableUSBDia/2)),IF(OR(ISERROR(SQRT(((N12/2)+(N$15-VLOOKUP(MachinesUSBDia,Machines[],MATCH(N13,Machines[#Headers],0),FALSE)/2))^2-VLOOKUP(MachinesConstantHV,Machines[],MATCH(N13,Machines[#Headers],0),FALSE)^2)-VLOOKUP(MachinesConstantVV,Machines[],MATCH(N13,Machines[#Headers],0),FALSE)+VLOOKUP(MachinesUSBDia,Machines[],MATCH(N13,Machines[#Headers],0),FALSE)/2),NOT(ISNUMBER(VLOOKUP(MachinesConstantHV,Machines[],MATCH(N13,Machines[#Headers],0),FALSE))),NOT(ISNUMBER(VLOOKUP(MachinesConstantVV,Machines[],MATCH(N13,Machines[#Headers],0),FALSE)))),"-",IF(SQRT(((N12/2)+(N$15-VLOOKUP(MachinesUSBDia,Machines[],MATCH(N13,Machines[#Headers],0),FALSE)/2))^2-VLOOKUP(MachinesConstantHV,Machines[],MATCH(N13,Machines[#Headers],0),FALSE)^2)-VLOOKUP(MachinesConstantVV,Machines[],MATCH(N13,Machines[#Headers],0),FALSE)+VLOOKUP(MachinesUSBDia,Machines[],MATCH(N13,Machines[#Headers],0),FALSE)/2&lt;0,"-", SQRT(((N12/2)+(N$15-VLOOKUP(MachinesUSBDia,Machines[],MATCH(N13,Machines[#Headers],0),FALSE)/2))^2-VLOOKUP(MachinesConstantHV,Machines[],MATCH(N13,Machines[#Headers],0),FALSE)^2)-VLOOKUP(MachinesConstantVV,Machines[],MATCH(N13,Machines[#Headers],0),FALSE)+VLOOKUP(MachinesUSBDia,Machines[],MATCH(N13,Machines[#Headers],0),FALSE)/2)))</f>
        <v>174.7633354982398</v>
      </c>
      <c r="O17" s="33">
        <f ca="1">IF(O13="",IF(ISERROR(SQRT(((O12/2)+(O$15-VariableUSBDia/2))^2-ConstantHV^2)-ConstantVV+VariableUSBDia/2),"-",IF(SQRT(((O12/2)+(O$15-VariableUSBDia/2))^2-ConstantHV^2)-ConstantVV+VariableUSBDia/2&lt;0,"-", SQRT(((O12/2)+(O$15-VariableUSBDia/2))^2-ConstantHV^2)-ConstantVV+VariableUSBDia/2)),IF(OR(ISERROR(SQRT(((O12/2)+(O$15-VLOOKUP(MachinesUSBDia,Machines[],MATCH(O13,Machines[#Headers],0),FALSE)/2))^2-VLOOKUP(MachinesConstantHV,Machines[],MATCH(O13,Machines[#Headers],0),FALSE)^2)-VLOOKUP(MachinesConstantVV,Machines[],MATCH(O13,Machines[#Headers],0),FALSE)+VLOOKUP(MachinesUSBDia,Machines[],MATCH(O13,Machines[#Headers],0),FALSE)/2),NOT(ISNUMBER(VLOOKUP(MachinesConstantHV,Machines[],MATCH(O13,Machines[#Headers],0),FALSE))),NOT(ISNUMBER(VLOOKUP(MachinesConstantVV,Machines[],MATCH(O13,Machines[#Headers],0),FALSE)))),"-",IF(SQRT(((O12/2)+(O$15-VLOOKUP(MachinesUSBDia,Machines[],MATCH(O13,Machines[#Headers],0),FALSE)/2))^2-VLOOKUP(MachinesConstantHV,Machines[],MATCH(O13,Machines[#Headers],0),FALSE)^2)-VLOOKUP(MachinesConstantVV,Machines[],MATCH(O13,Machines[#Headers],0),FALSE)+VLOOKUP(MachinesUSBDia,Machines[],MATCH(O13,Machines[#Headers],0),FALSE)/2&lt;0,"-", SQRT(((O12/2)+(O$15-VLOOKUP(MachinesUSBDia,Machines[],MATCH(O13,Machines[#Headers],0),FALSE)/2))^2-VLOOKUP(MachinesConstantHV,Machines[],MATCH(O13,Machines[#Headers],0),FALSE)^2)-VLOOKUP(MachinesConstantVV,Machines[],MATCH(O13,Machines[#Headers],0),FALSE)+VLOOKUP(MachinesUSBDia,Machines[],MATCH(O13,Machines[#Headers],0),FALSE)/2)))</f>
        <v>161.46396147442863</v>
      </c>
      <c r="P17" s="33">
        <f ca="1">IF(P13="",IF(ISERROR(SQRT(((P12/2)+(P$15-VariableUSBDia/2))^2-ConstantHV^2)-ConstantVV+VariableUSBDia/2),"-",IF(SQRT(((P12/2)+(P$15-VariableUSBDia/2))^2-ConstantHV^2)-ConstantVV+VariableUSBDia/2&lt;0,"-", SQRT(((P12/2)+(P$15-VariableUSBDia/2))^2-ConstantHV^2)-ConstantVV+VariableUSBDia/2)),IF(OR(ISERROR(SQRT(((P12/2)+(P$15-VLOOKUP(MachinesUSBDia,Machines[],MATCH(P13,Machines[#Headers],0),FALSE)/2))^2-VLOOKUP(MachinesConstantHV,Machines[],MATCH(P13,Machines[#Headers],0),FALSE)^2)-VLOOKUP(MachinesConstantVV,Machines[],MATCH(P13,Machines[#Headers],0),FALSE)+VLOOKUP(MachinesUSBDia,Machines[],MATCH(P13,Machines[#Headers],0),FALSE)/2),NOT(ISNUMBER(VLOOKUP(MachinesConstantHV,Machines[],MATCH(P13,Machines[#Headers],0),FALSE))),NOT(ISNUMBER(VLOOKUP(MachinesConstantVV,Machines[],MATCH(P13,Machines[#Headers],0),FALSE)))),"-",IF(SQRT(((P12/2)+(P$15-VLOOKUP(MachinesUSBDia,Machines[],MATCH(P13,Machines[#Headers],0),FALSE)/2))^2-VLOOKUP(MachinesConstantHV,Machines[],MATCH(P13,Machines[#Headers],0),FALSE)^2)-VLOOKUP(MachinesConstantVV,Machines[],MATCH(P13,Machines[#Headers],0),FALSE)+VLOOKUP(MachinesUSBDia,Machines[],MATCH(P13,Machines[#Headers],0),FALSE)/2&lt;0,"-", SQRT(((P12/2)+(P$15-VLOOKUP(MachinesUSBDia,Machines[],MATCH(P13,Machines[#Headers],0),FALSE)/2))^2-VLOOKUP(MachinesConstantHV,Machines[],MATCH(P13,Machines[#Headers],0),FALSE)^2)-VLOOKUP(MachinesConstantVV,Machines[],MATCH(P13,Machines[#Headers],0),FALSE)+VLOOKUP(MachinesUSBDia,Machines[],MATCH(P13,Machines[#Headers],0),FALSE)/2)))</f>
        <v>161.27212297579234</v>
      </c>
      <c r="Q17" s="33">
        <f ca="1">IF(Q13="",IF(ISERROR(SQRT(((Q12/2)+(Q$15-VariableUSBDia/2))^2-ConstantHV^2)-ConstantVV+VariableUSBDia/2),"-",IF(SQRT(((Q12/2)+(Q$15-VariableUSBDia/2))^2-ConstantHV^2)-ConstantVV+VariableUSBDia/2&lt;0,"-", SQRT(((Q12/2)+(Q$15-VariableUSBDia/2))^2-ConstantHV^2)-ConstantVV+VariableUSBDia/2)),IF(OR(ISERROR(SQRT(((Q12/2)+(Q$15-VLOOKUP(MachinesUSBDia,Machines[],MATCH(Q13,Machines[#Headers],0),FALSE)/2))^2-VLOOKUP(MachinesConstantHV,Machines[],MATCH(Q13,Machines[#Headers],0),FALSE)^2)-VLOOKUP(MachinesConstantVV,Machines[],MATCH(Q13,Machines[#Headers],0),FALSE)+VLOOKUP(MachinesUSBDia,Machines[],MATCH(Q13,Machines[#Headers],0),FALSE)/2),NOT(ISNUMBER(VLOOKUP(MachinesConstantHV,Machines[],MATCH(Q13,Machines[#Headers],0),FALSE))),NOT(ISNUMBER(VLOOKUP(MachinesConstantVV,Machines[],MATCH(Q13,Machines[#Headers],0),FALSE)))),"-",IF(SQRT(((Q12/2)+(Q$15-VLOOKUP(MachinesUSBDia,Machines[],MATCH(Q13,Machines[#Headers],0),FALSE)/2))^2-VLOOKUP(MachinesConstantHV,Machines[],MATCH(Q13,Machines[#Headers],0),FALSE)^2)-VLOOKUP(MachinesConstantVV,Machines[],MATCH(Q13,Machines[#Headers],0),FALSE)+VLOOKUP(MachinesUSBDia,Machines[],MATCH(Q13,Machines[#Headers],0),FALSE)/2&lt;0,"-", SQRT(((Q12/2)+(Q$15-VLOOKUP(MachinesUSBDia,Machines[],MATCH(Q13,Machines[#Headers],0),FALSE)/2))^2-VLOOKUP(MachinesConstantHV,Machines[],MATCH(Q13,Machines[#Headers],0),FALSE)^2)-VLOOKUP(MachinesConstantVV,Machines[],MATCH(Q13,Machines[#Headers],0),FALSE)+VLOOKUP(MachinesUSBDia,Machines[],MATCH(Q13,Machines[#Headers],0),FALSE)/2)))</f>
        <v>161.38720932335556</v>
      </c>
      <c r="R17" s="33">
        <f ca="1">IF(R13="",IF(ISERROR(SQRT(((R12/2)+(R$15-VariableUSBDia/2))^2-ConstantHV^2)-ConstantVV+VariableUSBDia/2),"-",IF(SQRT(((R12/2)+(R$15-VariableUSBDia/2))^2-ConstantHV^2)-ConstantVV+VariableUSBDia/2&lt;0,"-", SQRT(((R12/2)+(R$15-VariableUSBDia/2))^2-ConstantHV^2)-ConstantVV+VariableUSBDia/2)),IF(OR(ISERROR(SQRT(((R12/2)+(R$15-VLOOKUP(MachinesUSBDia,Machines[],MATCH(R13,Machines[#Headers],0),FALSE)/2))^2-VLOOKUP(MachinesConstantHV,Machines[],MATCH(R13,Machines[#Headers],0),FALSE)^2)-VLOOKUP(MachinesConstantVV,Machines[],MATCH(R13,Machines[#Headers],0),FALSE)+VLOOKUP(MachinesUSBDia,Machines[],MATCH(R13,Machines[#Headers],0),FALSE)/2),NOT(ISNUMBER(VLOOKUP(MachinesConstantHV,Machines[],MATCH(R13,Machines[#Headers],0),FALSE))),NOT(ISNUMBER(VLOOKUP(MachinesConstantVV,Machines[],MATCH(R13,Machines[#Headers],0),FALSE)))),"-",IF(SQRT(((R12/2)+(R$15-VLOOKUP(MachinesUSBDia,Machines[],MATCH(R13,Machines[#Headers],0),FALSE)/2))^2-VLOOKUP(MachinesConstantHV,Machines[],MATCH(R13,Machines[#Headers],0),FALSE)^2)-VLOOKUP(MachinesConstantVV,Machines[],MATCH(R13,Machines[#Headers],0),FALSE)+VLOOKUP(MachinesUSBDia,Machines[],MATCH(R13,Machines[#Headers],0),FALSE)/2&lt;0,"-", SQRT(((R12/2)+(R$15-VLOOKUP(MachinesUSBDia,Machines[],MATCH(R13,Machines[#Headers],0),FALSE)/2))^2-VLOOKUP(MachinesConstantHV,Machines[],MATCH(R13,Machines[#Headers],0),FALSE)^2)-VLOOKUP(MachinesConstantVV,Machines[],MATCH(R13,Machines[#Headers],0),FALSE)+VLOOKUP(MachinesUSBDia,Machines[],MATCH(R13,Machines[#Headers],0),FALSE)/2)))</f>
        <v>175.21558015322935</v>
      </c>
      <c r="S17" s="33">
        <f ca="1">IF(S13="",IF(ISERROR(SQRT(((S12/2)+(S$15-VariableUSBDia/2))^2-ConstantHV^2)-ConstantVV+VariableUSBDia/2),"-",IF(SQRT(((S12/2)+(S$15-VariableUSBDia/2))^2-ConstantHV^2)-ConstantVV+VariableUSBDia/2&lt;0,"-", SQRT(((S12/2)+(S$15-VariableUSBDia/2))^2-ConstantHV^2)-ConstantVV+VariableUSBDia/2)),IF(OR(ISERROR(SQRT(((S12/2)+(S$15-VLOOKUP(MachinesUSBDia,Machines[],MATCH(S13,Machines[#Headers],0),FALSE)/2))^2-VLOOKUP(MachinesConstantHV,Machines[],MATCH(S13,Machines[#Headers],0),FALSE)^2)-VLOOKUP(MachinesConstantVV,Machines[],MATCH(S13,Machines[#Headers],0),FALSE)+VLOOKUP(MachinesUSBDia,Machines[],MATCH(S13,Machines[#Headers],0),FALSE)/2),NOT(ISNUMBER(VLOOKUP(MachinesConstantHV,Machines[],MATCH(S13,Machines[#Headers],0),FALSE))),NOT(ISNUMBER(VLOOKUP(MachinesConstantVV,Machines[],MATCH(S13,Machines[#Headers],0),FALSE)))),"-",IF(SQRT(((S12/2)+(S$15-VLOOKUP(MachinesUSBDia,Machines[],MATCH(S13,Machines[#Headers],0),FALSE)/2))^2-VLOOKUP(MachinesConstantHV,Machines[],MATCH(S13,Machines[#Headers],0),FALSE)^2)-VLOOKUP(MachinesConstantVV,Machines[],MATCH(S13,Machines[#Headers],0),FALSE)+VLOOKUP(MachinesUSBDia,Machines[],MATCH(S13,Machines[#Headers],0),FALSE)/2&lt;0,"-", SQRT(((S12/2)+(S$15-VLOOKUP(MachinesUSBDia,Machines[],MATCH(S13,Machines[#Headers],0),FALSE)/2))^2-VLOOKUP(MachinesConstantHV,Machines[],MATCH(S13,Machines[#Headers],0),FALSE)^2)-VLOOKUP(MachinesConstantVV,Machines[],MATCH(S13,Machines[#Headers],0),FALSE)+VLOOKUP(MachinesUSBDia,Machines[],MATCH(S13,Machines[#Headers],0),FALSE)/2)))</f>
        <v>175.21558015322935</v>
      </c>
      <c r="T17" s="33" t="str">
        <f ca="1">IF(T13="",IF(ISERROR(SQRT(((T12/2)+(T$15-VariableUSBDia/2))^2-ConstantHV^2)-ConstantVV+VariableUSBDia/2),"-",IF(SQRT(((T12/2)+(T$15-VariableUSBDia/2))^2-ConstantHV^2)-ConstantVV+VariableUSBDia/2&lt;0,"-", SQRT(((T12/2)+(T$15-VariableUSBDia/2))^2-ConstantHV^2)-ConstantVV+VariableUSBDia/2)),IF(OR(ISERROR(SQRT(((T12/2)+(T$15-VLOOKUP(MachinesUSBDia,Machines[],MATCH(T13,Machines[#Headers],0),FALSE)/2))^2-VLOOKUP(MachinesConstantHV,Machines[],MATCH(T13,Machines[#Headers],0),FALSE)^2)-VLOOKUP(MachinesConstantVV,Machines[],MATCH(T13,Machines[#Headers],0),FALSE)+VLOOKUP(MachinesUSBDia,Machines[],MATCH(T13,Machines[#Headers],0),FALSE)/2),NOT(ISNUMBER(VLOOKUP(MachinesConstantHV,Machines[],MATCH(T13,Machines[#Headers],0),FALSE))),NOT(ISNUMBER(VLOOKUP(MachinesConstantVV,Machines[],MATCH(T13,Machines[#Headers],0),FALSE)))),"-",IF(SQRT(((T12/2)+(T$15-VLOOKUP(MachinesUSBDia,Machines[],MATCH(T13,Machines[#Headers],0),FALSE)/2))^2-VLOOKUP(MachinesConstantHV,Machines[],MATCH(T13,Machines[#Headers],0),FALSE)^2)-VLOOKUP(MachinesConstantVV,Machines[],MATCH(T13,Machines[#Headers],0),FALSE)+VLOOKUP(MachinesUSBDia,Machines[],MATCH(T13,Machines[#Headers],0),FALSE)/2&lt;0,"-", SQRT(((T12/2)+(T$15-VLOOKUP(MachinesUSBDia,Machines[],MATCH(T13,Machines[#Headers],0),FALSE)/2))^2-VLOOKUP(MachinesConstantHV,Machines[],MATCH(T13,Machines[#Headers],0),FALSE)^2)-VLOOKUP(MachinesConstantVV,Machines[],MATCH(T13,Machines[#Headers],0),FALSE)+VLOOKUP(MachinesUSBDia,Machines[],MATCH(T13,Machines[#Headers],0),FALSE)/2)))</f>
        <v>-</v>
      </c>
    </row>
    <row r="18" spans="2:20" ht="15" customHeight="1" x14ac:dyDescent="0.25">
      <c r="B18" s="26" t="s">
        <v>63</v>
      </c>
      <c r="C18" s="12">
        <f>IF(OR($D$18=0,ISTEXT($D$18)),DefaultConstantVV,$D$18)</f>
        <v>28.7</v>
      </c>
      <c r="D18" s="2"/>
      <c r="E18" s="13"/>
      <c r="F18" s="35" t="s">
        <v>71</v>
      </c>
      <c r="G18" s="36">
        <f ca="1">IF(G13="",IF(ISERROR(SQRT(((G12/2)+(G$15-VariableUSBDia/2))^2-ConstantHH^2)-ConstantVH+$C$16/2),"-",IF(SQRT(((G12/2)+(G$15-VariableUSBDia/2))^2-ConstantHH^2)-ConstantVH+VariableUSBDia/2&lt;0,"-", SQRT(((G12/2)+(G$15-VariableUSBDia/2))^2-ConstantHH^2)-ConstantVH+VariableUSBDia/2)),IF(OR(ISERROR(SQRT(((G12/2)+(G$15-VLOOKUP(MachinesUSBDia,Machines[],MATCH(G13,Machines[#Headers],0),FALSE)/2))^2-VLOOKUP(MachinesConstantHH,Machines[],MATCH(G13,Machines[#Headers],0),FALSE)^2)-VLOOKUP(MachinesConstantVH,Machines[],MATCH(G13,Machines[#Headers],0),FALSE)+VLOOKUP(MachinesUSBDia,Machines[],MATCH(G13,Machines[#Headers],0),FALSE)/2),NOT(ISNUMBER(VLOOKUP(MachinesConstantHH,Machines[],MATCH(G13,Machines[#Headers],0),FALSE))),NOT(ISNUMBER(VLOOKUP(MachinesConstantVH,Machines[],MATCH(G13,Machines[#Headers],0),FALSE)))),"-",IF(SQRT(((G12/2)+(G$15-VLOOKUP(MachinesUSBDia,Machines[],MATCH(G13,Machines[#Headers],0),FALSE)/2))^2-VLOOKUP(MachinesConstantHH,Machines[],MATCH(G13,Machines[#Headers],0),FALSE)^2)-VLOOKUP(MachinesConstantVH,Machines[],MATCH(G13,Machines[#Headers],0),FALSE)+VLOOKUP(MachinesUSBDia,Machines[],MATCH(G13,Machines[#Headers],0),FALSE)/2&lt;0,"-", SQRT(((G12/2)+(G$15-VLOOKUP(MachinesUSBDia,Machines[],MATCH(G13,Machines[#Headers],0),FALSE)/2))^2-VLOOKUP(MachinesConstantHH,Machines[],MATCH(G13,Machines[#Headers],0),FALSE)^2)-VLOOKUP(MachinesConstantVH,Machines[],MATCH(G13,Machines[#Headers],0),FALSE)+VLOOKUP(MachinesUSBDia,Machines[],MATCH(G13,Machines[#Headers],0),FALSE)/2)))</f>
        <v>124.84896065593676</v>
      </c>
      <c r="H18" s="36">
        <f ca="1">IF(H13="",IF(ISERROR(SQRT(((H12/2)+(H$15-VariableUSBDia/2))^2-ConstantHH^2)-ConstantVH+$C$16/2),"-",IF(SQRT(((H12/2)+(H$15-VariableUSBDia/2))^2-ConstantHH^2)-ConstantVH+VariableUSBDia/2&lt;0,"-", SQRT(((H12/2)+(H$15-VariableUSBDia/2))^2-ConstantHH^2)-ConstantVH+VariableUSBDia/2)),IF(OR(ISERROR(SQRT(((H12/2)+(H$15-VLOOKUP(MachinesUSBDia,Machines[],MATCH(H13,Machines[#Headers],0),FALSE)/2))^2-VLOOKUP(MachinesConstantHH,Machines[],MATCH(H13,Machines[#Headers],0),FALSE)^2)-VLOOKUP(MachinesConstantVH,Machines[],MATCH(H13,Machines[#Headers],0),FALSE)+VLOOKUP(MachinesUSBDia,Machines[],MATCH(H13,Machines[#Headers],0),FALSE)/2),NOT(ISNUMBER(VLOOKUP(MachinesConstantHH,Machines[],MATCH(H13,Machines[#Headers],0),FALSE))),NOT(ISNUMBER(VLOOKUP(MachinesConstantVH,Machines[],MATCH(H13,Machines[#Headers],0),FALSE)))),"-",IF(SQRT(((H12/2)+(H$15-VLOOKUP(MachinesUSBDia,Machines[],MATCH(H13,Machines[#Headers],0),FALSE)/2))^2-VLOOKUP(MachinesConstantHH,Machines[],MATCH(H13,Machines[#Headers],0),FALSE)^2)-VLOOKUP(MachinesConstantVH,Machines[],MATCH(H13,Machines[#Headers],0),FALSE)+VLOOKUP(MachinesUSBDia,Machines[],MATCH(H13,Machines[#Headers],0),FALSE)/2&lt;0,"-", SQRT(((H12/2)+(H$15-VLOOKUP(MachinesUSBDia,Machines[],MATCH(H13,Machines[#Headers],0),FALSE)/2))^2-VLOOKUP(MachinesConstantHH,Machines[],MATCH(H13,Machines[#Headers],0),FALSE)^2)-VLOOKUP(MachinesConstantVH,Machines[],MATCH(H13,Machines[#Headers],0),FALSE)+VLOOKUP(MachinesUSBDia,Machines[],MATCH(H13,Machines[#Headers],0),FALSE)/2)))</f>
        <v>124.45191434792048</v>
      </c>
      <c r="I18" s="36">
        <f ca="1">IF(I13="",IF(ISERROR(SQRT(((I12/2)+(I$15-VariableUSBDia/2))^2-ConstantHH^2)-ConstantVH+$C$16/2),"-",IF(SQRT(((I12/2)+(I$15-VariableUSBDia/2))^2-ConstantHH^2)-ConstantVH+VariableUSBDia/2&lt;0,"-", SQRT(((I12/2)+(I$15-VariableUSBDia/2))^2-ConstantHH^2)-ConstantVH+VariableUSBDia/2)),IF(OR(ISERROR(SQRT(((I12/2)+(I$15-VLOOKUP(MachinesUSBDia,Machines[],MATCH(I13,Machines[#Headers],0),FALSE)/2))^2-VLOOKUP(MachinesConstantHH,Machines[],MATCH(I13,Machines[#Headers],0),FALSE)^2)-VLOOKUP(MachinesConstantVH,Machines[],MATCH(I13,Machines[#Headers],0),FALSE)+VLOOKUP(MachinesUSBDia,Machines[],MATCH(I13,Machines[#Headers],0),FALSE)/2),NOT(ISNUMBER(VLOOKUP(MachinesConstantHH,Machines[],MATCH(I13,Machines[#Headers],0),FALSE))),NOT(ISNUMBER(VLOOKUP(MachinesConstantVH,Machines[],MATCH(I13,Machines[#Headers],0),FALSE)))),"-",IF(SQRT(((I12/2)+(I$15-VLOOKUP(MachinesUSBDia,Machines[],MATCH(I13,Machines[#Headers],0),FALSE)/2))^2-VLOOKUP(MachinesConstantHH,Machines[],MATCH(I13,Machines[#Headers],0),FALSE)^2)-VLOOKUP(MachinesConstantVH,Machines[],MATCH(I13,Machines[#Headers],0),FALSE)+VLOOKUP(MachinesUSBDia,Machines[],MATCH(I13,Machines[#Headers],0),FALSE)/2&lt;0,"-", SQRT(((I12/2)+(I$15-VLOOKUP(MachinesUSBDia,Machines[],MATCH(I13,Machines[#Headers],0),FALSE)/2))^2-VLOOKUP(MachinesConstantHH,Machines[],MATCH(I13,Machines[#Headers],0),FALSE)^2)-VLOOKUP(MachinesConstantVH,Machines[],MATCH(I13,Machines[#Headers],0),FALSE)+VLOOKUP(MachinesUSBDia,Machines[],MATCH(I13,Machines[#Headers],0),FALSE)/2)))</f>
        <v>126.24223497203161</v>
      </c>
      <c r="J18" s="36">
        <f ca="1">IF(J13="",IF(ISERROR(SQRT(((J12/2)+(J$15-VariableUSBDia/2))^2-ConstantHH^2)-ConstantVH+$C$16/2),"-",IF(SQRT(((J12/2)+(J$15-VariableUSBDia/2))^2-ConstantHH^2)-ConstantVH+VariableUSBDia/2&lt;0,"-", SQRT(((J12/2)+(J$15-VariableUSBDia/2))^2-ConstantHH^2)-ConstantVH+VariableUSBDia/2)),IF(OR(ISERROR(SQRT(((J12/2)+(J$15-VLOOKUP(MachinesUSBDia,Machines[],MATCH(J13,Machines[#Headers],0),FALSE)/2))^2-VLOOKUP(MachinesConstantHH,Machines[],MATCH(J13,Machines[#Headers],0),FALSE)^2)-VLOOKUP(MachinesConstantVH,Machines[],MATCH(J13,Machines[#Headers],0),FALSE)+VLOOKUP(MachinesUSBDia,Machines[],MATCH(J13,Machines[#Headers],0),FALSE)/2),NOT(ISNUMBER(VLOOKUP(MachinesConstantHH,Machines[],MATCH(J13,Machines[#Headers],0),FALSE))),NOT(ISNUMBER(VLOOKUP(MachinesConstantVH,Machines[],MATCH(J13,Machines[#Headers],0),FALSE)))),"-",IF(SQRT(((J12/2)+(J$15-VLOOKUP(MachinesUSBDia,Machines[],MATCH(J13,Machines[#Headers],0),FALSE)/2))^2-VLOOKUP(MachinesConstantHH,Machines[],MATCH(J13,Machines[#Headers],0),FALSE)^2)-VLOOKUP(MachinesConstantVH,Machines[],MATCH(J13,Machines[#Headers],0),FALSE)+VLOOKUP(MachinesUSBDia,Machines[],MATCH(J13,Machines[#Headers],0),FALSE)/2&lt;0,"-", SQRT(((J12/2)+(J$15-VLOOKUP(MachinesUSBDia,Machines[],MATCH(J13,Machines[#Headers],0),FALSE)/2))^2-VLOOKUP(MachinesConstantHH,Machines[],MATCH(J13,Machines[#Headers],0),FALSE)^2)-VLOOKUP(MachinesConstantVH,Machines[],MATCH(J13,Machines[#Headers],0),FALSE)+VLOOKUP(MachinesUSBDia,Machines[],MATCH(J13,Machines[#Headers],0),FALSE)/2)))</f>
        <v>124.25356491967986</v>
      </c>
      <c r="K18" s="36">
        <f ca="1">IF(K13="",IF(ISERROR(SQRT(((K12/2)+(K$15-VariableUSBDia/2))^2-ConstantHH^2)-ConstantVH+$C$16/2),"-",IF(SQRT(((K12/2)+(K$15-VariableUSBDia/2))^2-ConstantHH^2)-ConstantVH+VariableUSBDia/2&lt;0,"-", SQRT(((K12/2)+(K$15-VariableUSBDia/2))^2-ConstantHH^2)-ConstantVH+VariableUSBDia/2)),IF(OR(ISERROR(SQRT(((K12/2)+(K$15-VLOOKUP(MachinesUSBDia,Machines[],MATCH(K13,Machines[#Headers],0),FALSE)/2))^2-VLOOKUP(MachinesConstantHH,Machines[],MATCH(K13,Machines[#Headers],0),FALSE)^2)-VLOOKUP(MachinesConstantVH,Machines[],MATCH(K13,Machines[#Headers],0),FALSE)+VLOOKUP(MachinesUSBDia,Machines[],MATCH(K13,Machines[#Headers],0),FALSE)/2),NOT(ISNUMBER(VLOOKUP(MachinesConstantHH,Machines[],MATCH(K13,Machines[#Headers],0),FALSE))),NOT(ISNUMBER(VLOOKUP(MachinesConstantVH,Machines[],MATCH(K13,Machines[#Headers],0),FALSE)))),"-",IF(SQRT(((K12/2)+(K$15-VLOOKUP(MachinesUSBDia,Machines[],MATCH(K13,Machines[#Headers],0),FALSE)/2))^2-VLOOKUP(MachinesConstantHH,Machines[],MATCH(K13,Machines[#Headers],0),FALSE)^2)-VLOOKUP(MachinesConstantVH,Machines[],MATCH(K13,Machines[#Headers],0),FALSE)+VLOOKUP(MachinesUSBDia,Machines[],MATCH(K13,Machines[#Headers],0),FALSE)/2&lt;0,"-", SQRT(((K12/2)+(K$15-VLOOKUP(MachinesUSBDia,Machines[],MATCH(K13,Machines[#Headers],0),FALSE)/2))^2-VLOOKUP(MachinesConstantHH,Machines[],MATCH(K13,Machines[#Headers],0),FALSE)^2)-VLOOKUP(MachinesConstantVH,Machines[],MATCH(K13,Machines[#Headers],0),FALSE)+VLOOKUP(MachinesUSBDia,Machines[],MATCH(K13,Machines[#Headers],0),FALSE)/2)))</f>
        <v>126.4417283275788</v>
      </c>
      <c r="L18" s="36">
        <f ca="1">IF(L13="",IF(ISERROR(SQRT(((L12/2)+(L$15-VariableUSBDia/2))^2-ConstantHH^2)-ConstantVH+$C$16/2),"-",IF(SQRT(((L12/2)+(L$15-VariableUSBDia/2))^2-ConstantHH^2)-ConstantVH+VariableUSBDia/2&lt;0,"-", SQRT(((L12/2)+(L$15-VariableUSBDia/2))^2-ConstantHH^2)-ConstantVH+VariableUSBDia/2)),IF(OR(ISERROR(SQRT(((L12/2)+(L$15-VLOOKUP(MachinesUSBDia,Machines[],MATCH(L13,Machines[#Headers],0),FALSE)/2))^2-VLOOKUP(MachinesConstantHH,Machines[],MATCH(L13,Machines[#Headers],0),FALSE)^2)-VLOOKUP(MachinesConstantVH,Machines[],MATCH(L13,Machines[#Headers],0),FALSE)+VLOOKUP(MachinesUSBDia,Machines[],MATCH(L13,Machines[#Headers],0),FALSE)/2),NOT(ISNUMBER(VLOOKUP(MachinesConstantHH,Machines[],MATCH(L13,Machines[#Headers],0),FALSE))),NOT(ISNUMBER(VLOOKUP(MachinesConstantVH,Machines[],MATCH(L13,Machines[#Headers],0),FALSE)))),"-",IF(SQRT(((L12/2)+(L$15-VLOOKUP(MachinesUSBDia,Machines[],MATCH(L13,Machines[#Headers],0),FALSE)/2))^2-VLOOKUP(MachinesConstantHH,Machines[],MATCH(L13,Machines[#Headers],0),FALSE)^2)-VLOOKUP(MachinesConstantVH,Machines[],MATCH(L13,Machines[#Headers],0),FALSE)+VLOOKUP(MachinesUSBDia,Machines[],MATCH(L13,Machines[#Headers],0),FALSE)/2&lt;0,"-", SQRT(((L12/2)+(L$15-VLOOKUP(MachinesUSBDia,Machines[],MATCH(L13,Machines[#Headers],0),FALSE)/2))^2-VLOOKUP(MachinesConstantHH,Machines[],MATCH(L13,Machines[#Headers],0),FALSE)^2)-VLOOKUP(MachinesConstantVH,Machines[],MATCH(L13,Machines[#Headers],0),FALSE)+VLOOKUP(MachinesUSBDia,Machines[],MATCH(L13,Machines[#Headers],0),FALSE)/2)))</f>
        <v>124.84896065593676</v>
      </c>
      <c r="M18" s="36">
        <f ca="1">IF(M13="",IF(ISERROR(SQRT(((M12/2)+(M$15-VariableUSBDia/2))^2-ConstantHH^2)-ConstantVH+$C$16/2),"-",IF(SQRT(((M12/2)+(M$15-VariableUSBDia/2))^2-ConstantHH^2)-ConstantVH+VariableUSBDia/2&lt;0,"-", SQRT(((M12/2)+(M$15-VariableUSBDia/2))^2-ConstantHH^2)-ConstantVH+VariableUSBDia/2)),IF(OR(ISERROR(SQRT(((M12/2)+(M$15-VLOOKUP(MachinesUSBDia,Machines[],MATCH(M13,Machines[#Headers],0),FALSE)/2))^2-VLOOKUP(MachinesConstantHH,Machines[],MATCH(M13,Machines[#Headers],0),FALSE)^2)-VLOOKUP(MachinesConstantVH,Machines[],MATCH(M13,Machines[#Headers],0),FALSE)+VLOOKUP(MachinesUSBDia,Machines[],MATCH(M13,Machines[#Headers],0),FALSE)/2),NOT(ISNUMBER(VLOOKUP(MachinesConstantHH,Machines[],MATCH(M13,Machines[#Headers],0),FALSE))),NOT(ISNUMBER(VLOOKUP(MachinesConstantVH,Machines[],MATCH(M13,Machines[#Headers],0),FALSE)))),"-",IF(SQRT(((M12/2)+(M$15-VLOOKUP(MachinesUSBDia,Machines[],MATCH(M13,Machines[#Headers],0),FALSE)/2))^2-VLOOKUP(MachinesConstantHH,Machines[],MATCH(M13,Machines[#Headers],0),FALSE)^2)-VLOOKUP(MachinesConstantVH,Machines[],MATCH(M13,Machines[#Headers],0),FALSE)+VLOOKUP(MachinesUSBDia,Machines[],MATCH(M13,Machines[#Headers],0),FALSE)/2&lt;0,"-", SQRT(((M12/2)+(M$15-VLOOKUP(MachinesUSBDia,Machines[],MATCH(M13,Machines[#Headers],0),FALSE)/2))^2-VLOOKUP(MachinesConstantHH,Machines[],MATCH(M13,Machines[#Headers],0),FALSE)^2)-VLOOKUP(MachinesConstantVH,Machines[],MATCH(M13,Machines[#Headers],0),FALSE)+VLOOKUP(MachinesUSBDia,Machines[],MATCH(M13,Machines[#Headers],0),FALSE)/2)))</f>
        <v>124.94896065593676</v>
      </c>
      <c r="N18" s="36">
        <f ca="1">IF(N13="",IF(ISERROR(SQRT(((N12/2)+(N$15-VariableUSBDia/2))^2-ConstantHH^2)-ConstantVH+$C$16/2),"-",IF(SQRT(((N12/2)+(N$15-VariableUSBDia/2))^2-ConstantHH^2)-ConstantVH+VariableUSBDia/2&lt;0,"-", SQRT(((N12/2)+(N$15-VariableUSBDia/2))^2-ConstantHH^2)-ConstantVH+VariableUSBDia/2)),IF(OR(ISERROR(SQRT(((N12/2)+(N$15-VLOOKUP(MachinesUSBDia,Machines[],MATCH(N13,Machines[#Headers],0),FALSE)/2))^2-VLOOKUP(MachinesConstantHH,Machines[],MATCH(N13,Machines[#Headers],0),FALSE)^2)-VLOOKUP(MachinesConstantVH,Machines[],MATCH(N13,Machines[#Headers],0),FALSE)+VLOOKUP(MachinesUSBDia,Machines[],MATCH(N13,Machines[#Headers],0),FALSE)/2),NOT(ISNUMBER(VLOOKUP(MachinesConstantHH,Machines[],MATCH(N13,Machines[#Headers],0),FALSE))),NOT(ISNUMBER(VLOOKUP(MachinesConstantVH,Machines[],MATCH(N13,Machines[#Headers],0),FALSE)))),"-",IF(SQRT(((N12/2)+(N$15-VLOOKUP(MachinesUSBDia,Machines[],MATCH(N13,Machines[#Headers],0),FALSE)/2))^2-VLOOKUP(MachinesConstantHH,Machines[],MATCH(N13,Machines[#Headers],0),FALSE)^2)-VLOOKUP(MachinesConstantVH,Machines[],MATCH(N13,Machines[#Headers],0),FALSE)+VLOOKUP(MachinesUSBDia,Machines[],MATCH(N13,Machines[#Headers],0),FALSE)/2&lt;0,"-", SQRT(((N12/2)+(N$15-VLOOKUP(MachinesUSBDia,Machines[],MATCH(N13,Machines[#Headers],0),FALSE)/2))^2-VLOOKUP(MachinesConstantHH,Machines[],MATCH(N13,Machines[#Headers],0),FALSE)^2)-VLOOKUP(MachinesConstantVH,Machines[],MATCH(N13,Machines[#Headers],0),FALSE)+VLOOKUP(MachinesUSBDia,Machines[],MATCH(N13,Machines[#Headers],0),FALSE)/2)))</f>
        <v>126.14896065593676</v>
      </c>
      <c r="O18" s="36">
        <f ca="1">IF(O13="",IF(ISERROR(SQRT(((O12/2)+(O$15-VariableUSBDia/2))^2-ConstantHH^2)-ConstantVH+$C$16/2),"-",IF(SQRT(((O12/2)+(O$15-VariableUSBDia/2))^2-ConstantHH^2)-ConstantVH+VariableUSBDia/2&lt;0,"-", SQRT(((O12/2)+(O$15-VariableUSBDia/2))^2-ConstantHH^2)-ConstantVH+VariableUSBDia/2)),IF(OR(ISERROR(SQRT(((O12/2)+(O$15-VLOOKUP(MachinesUSBDia,Machines[],MATCH(O13,Machines[#Headers],0),FALSE)/2))^2-VLOOKUP(MachinesConstantHH,Machines[],MATCH(O13,Machines[#Headers],0),FALSE)^2)-VLOOKUP(MachinesConstantVH,Machines[],MATCH(O13,Machines[#Headers],0),FALSE)+VLOOKUP(MachinesUSBDia,Machines[],MATCH(O13,Machines[#Headers],0),FALSE)/2),NOT(ISNUMBER(VLOOKUP(MachinesConstantHH,Machines[],MATCH(O13,Machines[#Headers],0),FALSE))),NOT(ISNUMBER(VLOOKUP(MachinesConstantVH,Machines[],MATCH(O13,Machines[#Headers],0),FALSE)))),"-",IF(SQRT(((O12/2)+(O$15-VLOOKUP(MachinesUSBDia,Machines[],MATCH(O13,Machines[#Headers],0),FALSE)/2))^2-VLOOKUP(MachinesConstantHH,Machines[],MATCH(O13,Machines[#Headers],0),FALSE)^2)-VLOOKUP(MachinesConstantVH,Machines[],MATCH(O13,Machines[#Headers],0),FALSE)+VLOOKUP(MachinesUSBDia,Machines[],MATCH(O13,Machines[#Headers],0),FALSE)/2&lt;0,"-", SQRT(((O12/2)+(O$15-VLOOKUP(MachinesUSBDia,Machines[],MATCH(O13,Machines[#Headers],0),FALSE)/2))^2-VLOOKUP(MachinesConstantHH,Machines[],MATCH(O13,Machines[#Headers],0),FALSE)^2)-VLOOKUP(MachinesConstantVH,Machines[],MATCH(O13,Machines[#Headers],0),FALSE)+VLOOKUP(MachinesUSBDia,Machines[],MATCH(O13,Machines[#Headers],0),FALSE)/2)))</f>
        <v>111.24745693449867</v>
      </c>
      <c r="P18" s="36">
        <f ca="1">IF(P13="",IF(ISERROR(SQRT(((P12/2)+(P$15-VariableUSBDia/2))^2-ConstantHH^2)-ConstantVH+$C$16/2),"-",IF(SQRT(((P12/2)+(P$15-VariableUSBDia/2))^2-ConstantHH^2)-ConstantVH+VariableUSBDia/2&lt;0,"-", SQRT(((P12/2)+(P$15-VariableUSBDia/2))^2-ConstantHH^2)-ConstantVH+VariableUSBDia/2)),IF(OR(ISERROR(SQRT(((P12/2)+(P$15-VLOOKUP(MachinesUSBDia,Machines[],MATCH(P13,Machines[#Headers],0),FALSE)/2))^2-VLOOKUP(MachinesConstantHH,Machines[],MATCH(P13,Machines[#Headers],0),FALSE)^2)-VLOOKUP(MachinesConstantVH,Machines[],MATCH(P13,Machines[#Headers],0),FALSE)+VLOOKUP(MachinesUSBDia,Machines[],MATCH(P13,Machines[#Headers],0),FALSE)/2),NOT(ISNUMBER(VLOOKUP(MachinesConstantHH,Machines[],MATCH(P13,Machines[#Headers],0),FALSE))),NOT(ISNUMBER(VLOOKUP(MachinesConstantVH,Machines[],MATCH(P13,Machines[#Headers],0),FALSE)))),"-",IF(SQRT(((P12/2)+(P$15-VLOOKUP(MachinesUSBDia,Machines[],MATCH(P13,Machines[#Headers],0),FALSE)/2))^2-VLOOKUP(MachinesConstantHH,Machines[],MATCH(P13,Machines[#Headers],0),FALSE)^2)-VLOOKUP(MachinesConstantVH,Machines[],MATCH(P13,Machines[#Headers],0),FALSE)+VLOOKUP(MachinesUSBDia,Machines[],MATCH(P13,Machines[#Headers],0),FALSE)/2&lt;0,"-", SQRT(((P12/2)+(P$15-VLOOKUP(MachinesUSBDia,Machines[],MATCH(P13,Machines[#Headers],0),FALSE)/2))^2-VLOOKUP(MachinesConstantHH,Machines[],MATCH(P13,Machines[#Headers],0),FALSE)^2)-VLOOKUP(MachinesConstantVH,Machines[],MATCH(P13,Machines[#Headers],0),FALSE)+VLOOKUP(MachinesUSBDia,Machines[],MATCH(P13,Machines[#Headers],0),FALSE)/2)))</f>
        <v>111.05786857455169</v>
      </c>
      <c r="Q18" s="36">
        <f ca="1">IF(Q13="",IF(ISERROR(SQRT(((Q12/2)+(Q$15-VariableUSBDia/2))^2-ConstantHH^2)-ConstantVH+$C$16/2),"-",IF(SQRT(((Q12/2)+(Q$15-VariableUSBDia/2))^2-ConstantHH^2)-ConstantVH+VariableUSBDia/2&lt;0,"-", SQRT(((Q12/2)+(Q$15-VariableUSBDia/2))^2-ConstantHH^2)-ConstantVH+VariableUSBDia/2)),IF(OR(ISERROR(SQRT(((Q12/2)+(Q$15-VLOOKUP(MachinesUSBDia,Machines[],MATCH(Q13,Machines[#Headers],0),FALSE)/2))^2-VLOOKUP(MachinesConstantHH,Machines[],MATCH(Q13,Machines[#Headers],0),FALSE)^2)-VLOOKUP(MachinesConstantVH,Machines[],MATCH(Q13,Machines[#Headers],0),FALSE)+VLOOKUP(MachinesUSBDia,Machines[],MATCH(Q13,Machines[#Headers],0),FALSE)/2),NOT(ISNUMBER(VLOOKUP(MachinesConstantHH,Machines[],MATCH(Q13,Machines[#Headers],0),FALSE))),NOT(ISNUMBER(VLOOKUP(MachinesConstantVH,Machines[],MATCH(Q13,Machines[#Headers],0),FALSE)))),"-",IF(SQRT(((Q12/2)+(Q$15-VLOOKUP(MachinesUSBDia,Machines[],MATCH(Q13,Machines[#Headers],0),FALSE)/2))^2-VLOOKUP(MachinesConstantHH,Machines[],MATCH(Q13,Machines[#Headers],0),FALSE)^2)-VLOOKUP(MachinesConstantVH,Machines[],MATCH(Q13,Machines[#Headers],0),FALSE)+VLOOKUP(MachinesUSBDia,Machines[],MATCH(Q13,Machines[#Headers],0),FALSE)/2&lt;0,"-", SQRT(((Q12/2)+(Q$15-VLOOKUP(MachinesUSBDia,Machines[],MATCH(Q13,Machines[#Headers],0),FALSE)/2))^2-VLOOKUP(MachinesConstantHH,Machines[],MATCH(Q13,Machines[#Headers],0),FALSE)^2)-VLOOKUP(MachinesConstantVH,Machines[],MATCH(Q13,Machines[#Headers],0),FALSE)+VLOOKUP(MachinesUSBDia,Machines[],MATCH(Q13,Machines[#Headers],0),FALSE)/2)))</f>
        <v>111.17160448243561</v>
      </c>
      <c r="R18" s="36">
        <f ca="1">IF(R13="",IF(ISERROR(SQRT(((R12/2)+(R$15-VariableUSBDia/2))^2-ConstantHH^2)-ConstantVH+$C$16/2),"-",IF(SQRT(((R12/2)+(R$15-VariableUSBDia/2))^2-ConstantHH^2)-ConstantVH+VariableUSBDia/2&lt;0,"-", SQRT(((R12/2)+(R$15-VariableUSBDia/2))^2-ConstantHH^2)-ConstantVH+VariableUSBDia/2)),IF(OR(ISERROR(SQRT(((R12/2)+(R$15-VLOOKUP(MachinesUSBDia,Machines[],MATCH(R13,Machines[#Headers],0),FALSE)/2))^2-VLOOKUP(MachinesConstantHH,Machines[],MATCH(R13,Machines[#Headers],0),FALSE)^2)-VLOOKUP(MachinesConstantVH,Machines[],MATCH(R13,Machines[#Headers],0),FALSE)+VLOOKUP(MachinesUSBDia,Machines[],MATCH(R13,Machines[#Headers],0),FALSE)/2),NOT(ISNUMBER(VLOOKUP(MachinesConstantHH,Machines[],MATCH(R13,Machines[#Headers],0),FALSE))),NOT(ISNUMBER(VLOOKUP(MachinesConstantVH,Machines[],MATCH(R13,Machines[#Headers],0),FALSE)))),"-",IF(SQRT(((R12/2)+(R$15-VLOOKUP(MachinesUSBDia,Machines[],MATCH(R13,Machines[#Headers],0),FALSE)/2))^2-VLOOKUP(MachinesConstantHH,Machines[],MATCH(R13,Machines[#Headers],0),FALSE)^2)-VLOOKUP(MachinesConstantVH,Machines[],MATCH(R13,Machines[#Headers],0),FALSE)+VLOOKUP(MachinesUSBDia,Machines[],MATCH(R13,Machines[#Headers],0),FALSE)/2&lt;0,"-", SQRT(((R12/2)+(R$15-VLOOKUP(MachinesUSBDia,Machines[],MATCH(R13,Machines[#Headers],0),FALSE)/2))^2-VLOOKUP(MachinesConstantHH,Machines[],MATCH(R13,Machines[#Headers],0),FALSE)^2)-VLOOKUP(MachinesConstantVH,Machines[],MATCH(R13,Machines[#Headers],0),FALSE)+VLOOKUP(MachinesUSBDia,Machines[],MATCH(R13,Machines[#Headers],0),FALSE)/2)))</f>
        <v>124.84896065593676</v>
      </c>
      <c r="S18" s="36">
        <f ca="1">IF(S13="",IF(ISERROR(SQRT(((S12/2)+(S$15-VariableUSBDia/2))^2-ConstantHH^2)-ConstantVH+$C$16/2),"-",IF(SQRT(((S12/2)+(S$15-VariableUSBDia/2))^2-ConstantHH^2)-ConstantVH+VariableUSBDia/2&lt;0,"-", SQRT(((S12/2)+(S$15-VariableUSBDia/2))^2-ConstantHH^2)-ConstantVH+VariableUSBDia/2)),IF(OR(ISERROR(SQRT(((S12/2)+(S$15-VLOOKUP(MachinesUSBDia,Machines[],MATCH(S13,Machines[#Headers],0),FALSE)/2))^2-VLOOKUP(MachinesConstantHH,Machines[],MATCH(S13,Machines[#Headers],0),FALSE)^2)-VLOOKUP(MachinesConstantVH,Machines[],MATCH(S13,Machines[#Headers],0),FALSE)+VLOOKUP(MachinesUSBDia,Machines[],MATCH(S13,Machines[#Headers],0),FALSE)/2),NOT(ISNUMBER(VLOOKUP(MachinesConstantHH,Machines[],MATCH(S13,Machines[#Headers],0),FALSE))),NOT(ISNUMBER(VLOOKUP(MachinesConstantVH,Machines[],MATCH(S13,Machines[#Headers],0),FALSE)))),"-",IF(SQRT(((S12/2)+(S$15-VLOOKUP(MachinesUSBDia,Machines[],MATCH(S13,Machines[#Headers],0),FALSE)/2))^2-VLOOKUP(MachinesConstantHH,Machines[],MATCH(S13,Machines[#Headers],0),FALSE)^2)-VLOOKUP(MachinesConstantVH,Machines[],MATCH(S13,Machines[#Headers],0),FALSE)+VLOOKUP(MachinesUSBDia,Machines[],MATCH(S13,Machines[#Headers],0),FALSE)/2&lt;0,"-", SQRT(((S12/2)+(S$15-VLOOKUP(MachinesUSBDia,Machines[],MATCH(S13,Machines[#Headers],0),FALSE)/2))^2-VLOOKUP(MachinesConstantHH,Machines[],MATCH(S13,Machines[#Headers],0),FALSE)^2)-VLOOKUP(MachinesConstantVH,Machines[],MATCH(S13,Machines[#Headers],0),FALSE)+VLOOKUP(MachinesUSBDia,Machines[],MATCH(S13,Machines[#Headers],0),FALSE)/2)))</f>
        <v>124.84896065593676</v>
      </c>
      <c r="T18" s="36">
        <f ca="1">IF(T13="",IF(ISERROR(SQRT(((T12/2)+(T$15-VariableUSBDia/2))^2-ConstantHH^2)-ConstantVH+$C$16/2),"-",IF(SQRT(((T12/2)+(T$15-VariableUSBDia/2))^2-ConstantHH^2)-ConstantVH+VariableUSBDia/2&lt;0,"-", SQRT(((T12/2)+(T$15-VariableUSBDia/2))^2-ConstantHH^2)-ConstantVH+VariableUSBDia/2)),IF(OR(ISERROR(SQRT(((T12/2)+(T$15-VLOOKUP(MachinesUSBDia,Machines[],MATCH(T13,Machines[#Headers],0),FALSE)/2))^2-VLOOKUP(MachinesConstantHH,Machines[],MATCH(T13,Machines[#Headers],0),FALSE)^2)-VLOOKUP(MachinesConstantVH,Machines[],MATCH(T13,Machines[#Headers],0),FALSE)+VLOOKUP(MachinesUSBDia,Machines[],MATCH(T13,Machines[#Headers],0),FALSE)/2),NOT(ISNUMBER(VLOOKUP(MachinesConstantHH,Machines[],MATCH(T13,Machines[#Headers],0),FALSE))),NOT(ISNUMBER(VLOOKUP(MachinesConstantVH,Machines[],MATCH(T13,Machines[#Headers],0),FALSE)))),"-",IF(SQRT(((T12/2)+(T$15-VLOOKUP(MachinesUSBDia,Machines[],MATCH(T13,Machines[#Headers],0),FALSE)/2))^2-VLOOKUP(MachinesConstantHH,Machines[],MATCH(T13,Machines[#Headers],0),FALSE)^2)-VLOOKUP(MachinesConstantVH,Machines[],MATCH(T13,Machines[#Headers],0),FALSE)+VLOOKUP(MachinesUSBDia,Machines[],MATCH(T13,Machines[#Headers],0),FALSE)/2&lt;0,"-", SQRT(((T12/2)+(T$15-VLOOKUP(MachinesUSBDia,Machines[],MATCH(T13,Machines[#Headers],0),FALSE)/2))^2-VLOOKUP(MachinesConstantHH,Machines[],MATCH(T13,Machines[#Headers],0),FALSE)^2)-VLOOKUP(MachinesConstantVH,Machines[],MATCH(T13,Machines[#Headers],0),FALSE)+VLOOKUP(MachinesUSBDia,Machines[],MATCH(T13,Machines[#Headers],0),FALSE)/2)))</f>
        <v>103.42523881459957</v>
      </c>
    </row>
    <row r="19" spans="2:20" ht="15" customHeight="1" x14ac:dyDescent="0.25">
      <c r="B19" s="26" t="s">
        <v>64</v>
      </c>
      <c r="C19" s="12">
        <f>IF(OR($D$19=0,ISTEXT($D$19)),DefaultConstantHH,$D$19)</f>
        <v>41</v>
      </c>
      <c r="D19" s="2"/>
      <c r="E19" s="13"/>
      <c r="F19" s="38" t="s">
        <v>72</v>
      </c>
      <c r="G19" s="39">
        <f ca="1">IF(G13="",IF(ISERROR(SQRT(((G12/2)+(G$15-VariableUSBDia/2))^2-VariableVHF^2)-ConstantVF+VariableUSBDia/2),"-",IF(SQRT(((G12/2)+(G$15-$C$16/2))^2-VariableVHF^2)-ConstantVF+VariableUSBDia/2&lt;0,"-", SQRT(((G12/2)+(G$15-VariableUSBDia/2))^2-VariableVHF^2)-ConstantVF+VariableUSBDia/2)),IF(OR(ISERROR(SQRT(((G12/2)+(G$15-VLOOKUP(MachinesUSBDia,Machines[],MATCH(G13,Machines[#Headers],0),FALSE)/2))^2-VLOOKUP(MachinesConstantHF,Machines[],MATCH(G13,Machines[#Headers],0),FALSE)^2)-VLOOKUP(MachinesConstantVF,Machines[],MATCH(G13,Machines[#Headers],0),FALSE)+VLOOKUP(MachinesUSBDia,Machines[],MATCH(G13,Machines[#Headers],0),FALSE)/2),NOT(ISNUMBER(VLOOKUP(MachinesConstantHF,Machines[],MATCH(G13,Machines[#Headers],0),FALSE))),NOT(ISNUMBER(VLOOKUP(MachinesConstantVF,Machines[],MATCH(G13,Machines[#Headers],0),FALSE)))),"-",IF(SQRT(((G12/2)+(G$15-VLOOKUP(MachinesUSBDia,Machines[],MATCH(G13,Machines[#Headers],0),FALSE)/2))^2-VLOOKUP(MachinesConstantHF,Machines[],MATCH(G13,Machines[#Headers],0),FALSE)^2)-VLOOKUP(MachinesConstantVF,Machines[],MATCH(G13,Machines[#Headers],0),FALSE)+VLOOKUP(MachinesUSBDia,Machines[],MATCH(G13,Machines[#Headers],0),FALSE)/2&lt;0,"-", SQRT(((G12/2)+(G$15-VLOOKUP(MachinesUSBDia,Machines[],MATCH(G13,Machines[#Headers],0),FALSE)/2))^2-VLOOKUP(MachinesConstantHF,Machines[],MATCH(G13,Machines[#Headers],0),FALSE)^2)-VLOOKUP(MachinesConstantVF,Machines[],MATCH(G13,Machines[#Headers],0),FALSE)+VLOOKUP(MachinesUSBDia,Machines[],MATCH(G13,Machines[#Headers],0),FALSE)/2)))</f>
        <v>95.838084420323298</v>
      </c>
      <c r="H19" s="39">
        <f ca="1">IF(H13="",IF(ISERROR(SQRT(((H12/2)+(H$15-VariableUSBDia/2))^2-VariableVHF^2)-ConstantVF+VariableUSBDia/2),"-",IF(SQRT(((H12/2)+(H$15-$C$16/2))^2-VariableVHF^2)-ConstantVF+VariableUSBDia/2&lt;0,"-", SQRT(((H12/2)+(H$15-VariableUSBDia/2))^2-VariableVHF^2)-ConstantVF+VariableUSBDia/2)),IF(OR(ISERROR(SQRT(((H12/2)+(H$15-VLOOKUP(MachinesUSBDia,Machines[],MATCH(H13,Machines[#Headers],0),FALSE)/2))^2-VLOOKUP(MachinesConstantHF,Machines[],MATCH(H13,Machines[#Headers],0),FALSE)^2)-VLOOKUP(MachinesConstantVF,Machines[],MATCH(H13,Machines[#Headers],0),FALSE)+VLOOKUP(MachinesUSBDia,Machines[],MATCH(H13,Machines[#Headers],0),FALSE)/2),NOT(ISNUMBER(VLOOKUP(MachinesConstantHF,Machines[],MATCH(H13,Machines[#Headers],0),FALSE))),NOT(ISNUMBER(VLOOKUP(MachinesConstantVF,Machines[],MATCH(H13,Machines[#Headers],0),FALSE)))),"-",IF(SQRT(((H12/2)+(H$15-VLOOKUP(MachinesUSBDia,Machines[],MATCH(H13,Machines[#Headers],0),FALSE)/2))^2-VLOOKUP(MachinesConstantHF,Machines[],MATCH(H13,Machines[#Headers],0),FALSE)^2)-VLOOKUP(MachinesConstantVF,Machines[],MATCH(H13,Machines[#Headers],0),FALSE)+VLOOKUP(MachinesUSBDia,Machines[],MATCH(H13,Machines[#Headers],0),FALSE)/2&lt;0,"-", SQRT(((H12/2)+(H$15-VLOOKUP(MachinesUSBDia,Machines[],MATCH(H13,Machines[#Headers],0),FALSE)/2))^2-VLOOKUP(MachinesConstantHF,Machines[],MATCH(H13,Machines[#Headers],0),FALSE)^2)-VLOOKUP(MachinesConstantVF,Machines[],MATCH(H13,Machines[#Headers],0),FALSE)+VLOOKUP(MachinesUSBDia,Machines[],MATCH(H13,Machines[#Headers],0),FALSE)/2)))</f>
        <v>95.293243201188744</v>
      </c>
      <c r="I19" s="39">
        <f ca="1">IF(I13="",IF(ISERROR(SQRT(((I12/2)+(I$15-VariableUSBDia/2))^2-VariableVHF^2)-ConstantVF+VariableUSBDia/2),"-",IF(SQRT(((I12/2)+(I$15-$C$16/2))^2-VariableVHF^2)-ConstantVF+VariableUSBDia/2&lt;0,"-", SQRT(((I12/2)+(I$15-VariableUSBDia/2))^2-VariableVHF^2)-ConstantVF+VariableUSBDia/2)),IF(OR(ISERROR(SQRT(((I12/2)+(I$15-VLOOKUP(MachinesUSBDia,Machines[],MATCH(I13,Machines[#Headers],0),FALSE)/2))^2-VLOOKUP(MachinesConstantHF,Machines[],MATCH(I13,Machines[#Headers],0),FALSE)^2)-VLOOKUP(MachinesConstantVF,Machines[],MATCH(I13,Machines[#Headers],0),FALSE)+VLOOKUP(MachinesUSBDia,Machines[],MATCH(I13,Machines[#Headers],0),FALSE)/2),NOT(ISNUMBER(VLOOKUP(MachinesConstantHF,Machines[],MATCH(I13,Machines[#Headers],0),FALSE))),NOT(ISNUMBER(VLOOKUP(MachinesConstantVF,Machines[],MATCH(I13,Machines[#Headers],0),FALSE)))),"-",IF(SQRT(((I12/2)+(I$15-VLOOKUP(MachinesUSBDia,Machines[],MATCH(I13,Machines[#Headers],0),FALSE)/2))^2-VLOOKUP(MachinesConstantHF,Machines[],MATCH(I13,Machines[#Headers],0),FALSE)^2)-VLOOKUP(MachinesConstantVF,Machines[],MATCH(I13,Machines[#Headers],0),FALSE)+VLOOKUP(MachinesUSBDia,Machines[],MATCH(I13,Machines[#Headers],0),FALSE)/2&lt;0,"-", SQRT(((I12/2)+(I$15-VLOOKUP(MachinesUSBDia,Machines[],MATCH(I13,Machines[#Headers],0),FALSE)/2))^2-VLOOKUP(MachinesConstantHF,Machines[],MATCH(I13,Machines[#Headers],0),FALSE)^2)-VLOOKUP(MachinesConstantVF,Machines[],MATCH(I13,Machines[#Headers],0),FALSE)+VLOOKUP(MachinesUSBDia,Machines[],MATCH(I13,Machines[#Headers],0),FALSE)/2)))</f>
        <v>97.742531396794419</v>
      </c>
      <c r="J19" s="39">
        <f ca="1">IF(J13="",IF(ISERROR(SQRT(((J12/2)+(J$15-VariableUSBDia/2))^2-VariableVHF^2)-ConstantVF+VariableUSBDia/2),"-",IF(SQRT(((J12/2)+(J$15-$C$16/2))^2-VariableVHF^2)-ConstantVF+VariableUSBDia/2&lt;0,"-", SQRT(((J12/2)+(J$15-VariableUSBDia/2))^2-VariableVHF^2)-ConstantVF+VariableUSBDia/2)),IF(OR(ISERROR(SQRT(((J12/2)+(J$15-VLOOKUP(MachinesUSBDia,Machines[],MATCH(J13,Machines[#Headers],0),FALSE)/2))^2-VLOOKUP(MachinesConstantHF,Machines[],MATCH(J13,Machines[#Headers],0),FALSE)^2)-VLOOKUP(MachinesConstantVF,Machines[],MATCH(J13,Machines[#Headers],0),FALSE)+VLOOKUP(MachinesUSBDia,Machines[],MATCH(J13,Machines[#Headers],0),FALSE)/2),NOT(ISNUMBER(VLOOKUP(MachinesConstantHF,Machines[],MATCH(J13,Machines[#Headers],0),FALSE))),NOT(ISNUMBER(VLOOKUP(MachinesConstantVF,Machines[],MATCH(J13,Machines[#Headers],0),FALSE)))),"-",IF(SQRT(((J12/2)+(J$15-VLOOKUP(MachinesUSBDia,Machines[],MATCH(J13,Machines[#Headers],0),FALSE)/2))^2-VLOOKUP(MachinesConstantHF,Machines[],MATCH(J13,Machines[#Headers],0),FALSE)^2)-VLOOKUP(MachinesConstantVF,Machines[],MATCH(J13,Machines[#Headers],0),FALSE)+VLOOKUP(MachinesUSBDia,Machines[],MATCH(J13,Machines[#Headers],0),FALSE)/2&lt;0,"-", SQRT(((J12/2)+(J$15-VLOOKUP(MachinesUSBDia,Machines[],MATCH(J13,Machines[#Headers],0),FALSE)/2))^2-VLOOKUP(MachinesConstantHF,Machines[],MATCH(J13,Machines[#Headers],0),FALSE)^2)-VLOOKUP(MachinesConstantVF,Machines[],MATCH(J13,Machines[#Headers],0),FALSE)+VLOOKUP(MachinesUSBDia,Machines[],MATCH(J13,Machines[#Headers],0),FALSE)/2)))</f>
        <v>95.020701440121996</v>
      </c>
      <c r="K19" s="39">
        <f ca="1">IF(K13="",IF(ISERROR(SQRT(((K12/2)+(K$15-VariableUSBDia/2))^2-VariableVHF^2)-ConstantVF+VariableUSBDia/2),"-",IF(SQRT(((K12/2)+(K$15-$C$16/2))^2-VariableVHF^2)-ConstantVF+VariableUSBDia/2&lt;0,"-", SQRT(((K12/2)+(K$15-VariableUSBDia/2))^2-VariableVHF^2)-ConstantVF+VariableUSBDia/2)),IF(OR(ISERROR(SQRT(((K12/2)+(K$15-VLOOKUP(MachinesUSBDia,Machines[],MATCH(K13,Machines[#Headers],0),FALSE)/2))^2-VLOOKUP(MachinesConstantHF,Machines[],MATCH(K13,Machines[#Headers],0),FALSE)^2)-VLOOKUP(MachinesConstantVF,Machines[],MATCH(K13,Machines[#Headers],0),FALSE)+VLOOKUP(MachinesUSBDia,Machines[],MATCH(K13,Machines[#Headers],0),FALSE)/2),NOT(ISNUMBER(VLOOKUP(MachinesConstantHF,Machines[],MATCH(K13,Machines[#Headers],0),FALSE))),NOT(ISNUMBER(VLOOKUP(MachinesConstantVF,Machines[],MATCH(K13,Machines[#Headers],0),FALSE)))),"-",IF(SQRT(((K12/2)+(K$15-VLOOKUP(MachinesUSBDia,Machines[],MATCH(K13,Machines[#Headers],0),FALSE)/2))^2-VLOOKUP(MachinesConstantHF,Machines[],MATCH(K13,Machines[#Headers],0),FALSE)^2)-VLOOKUP(MachinesConstantVF,Machines[],MATCH(K13,Machines[#Headers],0),FALSE)+VLOOKUP(MachinesUSBDia,Machines[],MATCH(K13,Machines[#Headers],0),FALSE)/2&lt;0,"-", SQRT(((K12/2)+(K$15-VLOOKUP(MachinesUSBDia,Machines[],MATCH(K13,Machines[#Headers],0),FALSE)/2))^2-VLOOKUP(MachinesConstantHF,Machines[],MATCH(K13,Machines[#Headers],0),FALSE)^2)-VLOOKUP(MachinesConstantVF,Machines[],MATCH(K13,Machines[#Headers],0),FALSE)+VLOOKUP(MachinesUSBDia,Machines[],MATCH(K13,Machines[#Headers],0),FALSE)/2)))</f>
        <v>98.014283963634966</v>
      </c>
      <c r="L19" s="39">
        <f ca="1">IF(L13="",IF(ISERROR(SQRT(((L12/2)+(L$15-VariableUSBDia/2))^2-VariableVHF^2)-ConstantVF+VariableUSBDia/2),"-",IF(SQRT(((L12/2)+(L$15-$C$16/2))^2-VariableVHF^2)-ConstantVF+VariableUSBDia/2&lt;0,"-", SQRT(((L12/2)+(L$15-VariableUSBDia/2))^2-VariableVHF^2)-ConstantVF+VariableUSBDia/2)),IF(OR(ISERROR(SQRT(((L12/2)+(L$15-VLOOKUP(MachinesUSBDia,Machines[],MATCH(L13,Machines[#Headers],0),FALSE)/2))^2-VLOOKUP(MachinesConstantHF,Machines[],MATCH(L13,Machines[#Headers],0),FALSE)^2)-VLOOKUP(MachinesConstantVF,Machines[],MATCH(L13,Machines[#Headers],0),FALSE)+VLOOKUP(MachinesUSBDia,Machines[],MATCH(L13,Machines[#Headers],0),FALSE)/2),NOT(ISNUMBER(VLOOKUP(MachinesConstantHF,Machines[],MATCH(L13,Machines[#Headers],0),FALSE))),NOT(ISNUMBER(VLOOKUP(MachinesConstantVF,Machines[],MATCH(L13,Machines[#Headers],0),FALSE)))),"-",IF(SQRT(((L12/2)+(L$15-VLOOKUP(MachinesUSBDia,Machines[],MATCH(L13,Machines[#Headers],0),FALSE)/2))^2-VLOOKUP(MachinesConstantHF,Machines[],MATCH(L13,Machines[#Headers],0),FALSE)^2)-VLOOKUP(MachinesConstantVF,Machines[],MATCH(L13,Machines[#Headers],0),FALSE)+VLOOKUP(MachinesUSBDia,Machines[],MATCH(L13,Machines[#Headers],0),FALSE)/2&lt;0,"-", SQRT(((L12/2)+(L$15-VLOOKUP(MachinesUSBDia,Machines[],MATCH(L13,Machines[#Headers],0),FALSE)/2))^2-VLOOKUP(MachinesConstantHF,Machines[],MATCH(L13,Machines[#Headers],0),FALSE)^2)-VLOOKUP(MachinesConstantVF,Machines[],MATCH(L13,Machines[#Headers],0),FALSE)+VLOOKUP(MachinesUSBDia,Machines[],MATCH(L13,Machines[#Headers],0),FALSE)/2)))</f>
        <v>95.838084420323298</v>
      </c>
      <c r="M19" s="39">
        <f ca="1">IF(M13="",IF(ISERROR(SQRT(((M12/2)+(M$15-VariableUSBDia/2))^2-VariableVHF^2)-ConstantVF+VariableUSBDia/2),"-",IF(SQRT(((M12/2)+(M$15-$C$16/2))^2-VariableVHF^2)-ConstantVF+VariableUSBDia/2&lt;0,"-", SQRT(((M12/2)+(M$15-VariableUSBDia/2))^2-VariableVHF^2)-ConstantVF+VariableUSBDia/2)),IF(OR(ISERROR(SQRT(((M12/2)+(M$15-VLOOKUP(MachinesUSBDia,Machines[],MATCH(M13,Machines[#Headers],0),FALSE)/2))^2-VLOOKUP(MachinesConstantHF,Machines[],MATCH(M13,Machines[#Headers],0),FALSE)^2)-VLOOKUP(MachinesConstantVF,Machines[],MATCH(M13,Machines[#Headers],0),FALSE)+VLOOKUP(MachinesUSBDia,Machines[],MATCH(M13,Machines[#Headers],0),FALSE)/2),NOT(ISNUMBER(VLOOKUP(MachinesConstantHF,Machines[],MATCH(M13,Machines[#Headers],0),FALSE))),NOT(ISNUMBER(VLOOKUP(MachinesConstantVF,Machines[],MATCH(M13,Machines[#Headers],0),FALSE)))),"-",IF(SQRT(((M12/2)+(M$15-VLOOKUP(MachinesUSBDia,Machines[],MATCH(M13,Machines[#Headers],0),FALSE)/2))^2-VLOOKUP(MachinesConstantHF,Machines[],MATCH(M13,Machines[#Headers],0),FALSE)^2)-VLOOKUP(MachinesConstantVF,Machines[],MATCH(M13,Machines[#Headers],0),FALSE)+VLOOKUP(MachinesUSBDia,Machines[],MATCH(M13,Machines[#Headers],0),FALSE)/2&lt;0,"-", SQRT(((M12/2)+(M$15-VLOOKUP(MachinesUSBDia,Machines[],MATCH(M13,Machines[#Headers],0),FALSE)/2))^2-VLOOKUP(MachinesConstantHF,Machines[],MATCH(M13,Machines[#Headers],0),FALSE)^2)-VLOOKUP(MachinesConstantVF,Machines[],MATCH(M13,Machines[#Headers],0),FALSE)+VLOOKUP(MachinesUSBDia,Machines[],MATCH(M13,Machines[#Headers],0),FALSE)/2)))</f>
        <v>95.935934119699766</v>
      </c>
      <c r="N19" s="39">
        <f ca="1">IF(N13="",IF(ISERROR(SQRT(((N12/2)+(N$15-VariableUSBDia/2))^2-VariableVHF^2)-ConstantVF+VariableUSBDia/2),"-",IF(SQRT(((N12/2)+(N$15-$C$16/2))^2-VariableVHF^2)-ConstantVF+VariableUSBDia/2&lt;0,"-", SQRT(((N12/2)+(N$15-VariableUSBDia/2))^2-VariableVHF^2)-ConstantVF+VariableUSBDia/2)),IF(OR(ISERROR(SQRT(((N12/2)+(N$15-VLOOKUP(MachinesUSBDia,Machines[],MATCH(N13,Machines[#Headers],0),FALSE)/2))^2-VLOOKUP(MachinesConstantHF,Machines[],MATCH(N13,Machines[#Headers],0),FALSE)^2)-VLOOKUP(MachinesConstantVF,Machines[],MATCH(N13,Machines[#Headers],0),FALSE)+VLOOKUP(MachinesUSBDia,Machines[],MATCH(N13,Machines[#Headers],0),FALSE)/2),NOT(ISNUMBER(VLOOKUP(MachinesConstantHF,Machines[],MATCH(N13,Machines[#Headers],0),FALSE))),NOT(ISNUMBER(VLOOKUP(MachinesConstantVF,Machines[],MATCH(N13,Machines[#Headers],0),FALSE)))),"-",IF(SQRT(((N12/2)+(N$15-VLOOKUP(MachinesUSBDia,Machines[],MATCH(N13,Machines[#Headers],0),FALSE)/2))^2-VLOOKUP(MachinesConstantHF,Machines[],MATCH(N13,Machines[#Headers],0),FALSE)^2)-VLOOKUP(MachinesConstantVF,Machines[],MATCH(N13,Machines[#Headers],0),FALSE)+VLOOKUP(MachinesUSBDia,Machines[],MATCH(N13,Machines[#Headers],0),FALSE)/2&lt;0,"-", SQRT(((N12/2)+(N$15-VLOOKUP(MachinesUSBDia,Machines[],MATCH(N13,Machines[#Headers],0),FALSE)/2))^2-VLOOKUP(MachinesConstantHF,Machines[],MATCH(N13,Machines[#Headers],0),FALSE)^2)-VLOOKUP(MachinesConstantVF,Machines[],MATCH(N13,Machines[#Headers],0),FALSE)+VLOOKUP(MachinesUSBDia,Machines[],MATCH(N13,Machines[#Headers],0),FALSE)/2)))</f>
        <v>97.099751418516519</v>
      </c>
      <c r="O19" s="39">
        <f ca="1">IF(O13="",IF(ISERROR(SQRT(((O12/2)+(O$15-VariableUSBDia/2))^2-VariableVHF^2)-ConstantVF+VariableUSBDia/2),"-",IF(SQRT(((O12/2)+(O$15-$C$16/2))^2-VariableVHF^2)-ConstantVF+VariableUSBDia/2&lt;0,"-", SQRT(((O12/2)+(O$15-VariableUSBDia/2))^2-VariableVHF^2)-ConstantVF+VariableUSBDia/2)),IF(OR(ISERROR(SQRT(((O12/2)+(O$15-VLOOKUP(MachinesUSBDia,Machines[],MATCH(O13,Machines[#Headers],0),FALSE)/2))^2-VLOOKUP(MachinesConstantHF,Machines[],MATCH(O13,Machines[#Headers],0),FALSE)^2)-VLOOKUP(MachinesConstantVF,Machines[],MATCH(O13,Machines[#Headers],0),FALSE)+VLOOKUP(MachinesUSBDia,Machines[],MATCH(O13,Machines[#Headers],0),FALSE)/2),NOT(ISNUMBER(VLOOKUP(MachinesConstantHF,Machines[],MATCH(O13,Machines[#Headers],0),FALSE))),NOT(ISNUMBER(VLOOKUP(MachinesConstantVF,Machines[],MATCH(O13,Machines[#Headers],0),FALSE)))),"-",IF(SQRT(((O12/2)+(O$15-VLOOKUP(MachinesUSBDia,Machines[],MATCH(O13,Machines[#Headers],0),FALSE)/2))^2-VLOOKUP(MachinesConstantHF,Machines[],MATCH(O13,Machines[#Headers],0),FALSE)^2)-VLOOKUP(MachinesConstantVF,Machines[],MATCH(O13,Machines[#Headers],0),FALSE)+VLOOKUP(MachinesUSBDia,Machines[],MATCH(O13,Machines[#Headers],0),FALSE)/2&lt;0,"-", SQRT(((O12/2)+(O$15-VLOOKUP(MachinesUSBDia,Machines[],MATCH(O13,Machines[#Headers],0),FALSE)/2))^2-VLOOKUP(MachinesConstantHF,Machines[],MATCH(O13,Machines[#Headers],0),FALSE)^2)-VLOOKUP(MachinesConstantVF,Machines[],MATCH(O13,Machines[#Headers],0),FALSE)+VLOOKUP(MachinesUSBDia,Machines[],MATCH(O13,Machines[#Headers],0),FALSE)/2)))</f>
        <v>76.548546834623238</v>
      </c>
      <c r="P19" s="39">
        <f ca="1">IF(P13="",IF(ISERROR(SQRT(((P12/2)+(P$15-VariableUSBDia/2))^2-VariableVHF^2)-ConstantVF+VariableUSBDia/2),"-",IF(SQRT(((P12/2)+(P$15-$C$16/2))^2-VariableVHF^2)-ConstantVF+VariableUSBDia/2&lt;0,"-", SQRT(((P12/2)+(P$15-VariableUSBDia/2))^2-VariableVHF^2)-ConstantVF+VariableUSBDia/2)),IF(OR(ISERROR(SQRT(((P12/2)+(P$15-VLOOKUP(MachinesUSBDia,Machines[],MATCH(P13,Machines[#Headers],0),FALSE)/2))^2-VLOOKUP(MachinesConstantHF,Machines[],MATCH(P13,Machines[#Headers],0),FALSE)^2)-VLOOKUP(MachinesConstantVF,Machines[],MATCH(P13,Machines[#Headers],0),FALSE)+VLOOKUP(MachinesUSBDia,Machines[],MATCH(P13,Machines[#Headers],0),FALSE)/2),NOT(ISNUMBER(VLOOKUP(MachinesConstantHF,Machines[],MATCH(P13,Machines[#Headers],0),FALSE))),NOT(ISNUMBER(VLOOKUP(MachinesConstantVF,Machines[],MATCH(P13,Machines[#Headers],0),FALSE)))),"-",IF(SQRT(((P12/2)+(P$15-VLOOKUP(MachinesUSBDia,Machines[],MATCH(P13,Machines[#Headers],0),FALSE)/2))^2-VLOOKUP(MachinesConstantHF,Machines[],MATCH(P13,Machines[#Headers],0),FALSE)^2)-VLOOKUP(MachinesConstantVF,Machines[],MATCH(P13,Machines[#Headers],0),FALSE)+VLOOKUP(MachinesUSBDia,Machines[],MATCH(P13,Machines[#Headers],0),FALSE)/2&lt;0,"-", SQRT(((P12/2)+(P$15-VLOOKUP(MachinesUSBDia,Machines[],MATCH(P13,Machines[#Headers],0),FALSE)/2))^2-VLOOKUP(MachinesConstantHF,Machines[],MATCH(P13,Machines[#Headers],0),FALSE)^2)-VLOOKUP(MachinesConstantVF,Machines[],MATCH(P13,Machines[#Headers],0),FALSE)+VLOOKUP(MachinesUSBDia,Machines[],MATCH(P13,Machines[#Headers],0),FALSE)/2)))</f>
        <v>76.269204607537048</v>
      </c>
      <c r="Q19" s="39">
        <f ca="1">IF(Q13="",IF(ISERROR(SQRT(((Q12/2)+(Q$15-VariableUSBDia/2))^2-VariableVHF^2)-ConstantVF+VariableUSBDia/2),"-",IF(SQRT(((Q12/2)+(Q$15-$C$16/2))^2-VariableVHF^2)-ConstantVF+VariableUSBDia/2&lt;0,"-", SQRT(((Q12/2)+(Q$15-VariableUSBDia/2))^2-VariableVHF^2)-ConstantVF+VariableUSBDia/2)),IF(OR(ISERROR(SQRT(((Q12/2)+(Q$15-VLOOKUP(MachinesUSBDia,Machines[],MATCH(Q13,Machines[#Headers],0),FALSE)/2))^2-VLOOKUP(MachinesConstantHF,Machines[],MATCH(Q13,Machines[#Headers],0),FALSE)^2)-VLOOKUP(MachinesConstantVF,Machines[],MATCH(Q13,Machines[#Headers],0),FALSE)+VLOOKUP(MachinesUSBDia,Machines[],MATCH(Q13,Machines[#Headers],0),FALSE)/2),NOT(ISNUMBER(VLOOKUP(MachinesConstantHF,Machines[],MATCH(Q13,Machines[#Headers],0),FALSE))),NOT(ISNUMBER(VLOOKUP(MachinesConstantVF,Machines[],MATCH(Q13,Machines[#Headers],0),FALSE)))),"-",IF(SQRT(((Q12/2)+(Q$15-VLOOKUP(MachinesUSBDia,Machines[],MATCH(Q13,Machines[#Headers],0),FALSE)/2))^2-VLOOKUP(MachinesConstantHF,Machines[],MATCH(Q13,Machines[#Headers],0),FALSE)^2)-VLOOKUP(MachinesConstantVF,Machines[],MATCH(Q13,Machines[#Headers],0),FALSE)+VLOOKUP(MachinesUSBDia,Machines[],MATCH(Q13,Machines[#Headers],0),FALSE)/2&lt;0,"-", SQRT(((Q12/2)+(Q$15-VLOOKUP(MachinesUSBDia,Machines[],MATCH(Q13,Machines[#Headers],0),FALSE)/2))^2-VLOOKUP(MachinesConstantHF,Machines[],MATCH(Q13,Machines[#Headers],0),FALSE)^2)-VLOOKUP(MachinesConstantVF,Machines[],MATCH(Q13,Machines[#Headers],0),FALSE)+VLOOKUP(MachinesUSBDia,Machines[],MATCH(Q13,Machines[#Headers],0),FALSE)/2)))</f>
        <v>76.436824685140394</v>
      </c>
      <c r="R19" s="39">
        <f ca="1">IF(R13="",IF(ISERROR(SQRT(((R12/2)+(R$15-VariableUSBDia/2))^2-VariableVHF^2)-ConstantVF+VariableUSBDia/2),"-",IF(SQRT(((R12/2)+(R$15-$C$16/2))^2-VariableVHF^2)-ConstantVF+VariableUSBDia/2&lt;0,"-", SQRT(((R12/2)+(R$15-VariableUSBDia/2))^2-VariableVHF^2)-ConstantVF+VariableUSBDia/2)),IF(OR(ISERROR(SQRT(((R12/2)+(R$15-VLOOKUP(MachinesUSBDia,Machines[],MATCH(R13,Machines[#Headers],0),FALSE)/2))^2-VLOOKUP(MachinesConstantHF,Machines[],MATCH(R13,Machines[#Headers],0),FALSE)^2)-VLOOKUP(MachinesConstantVF,Machines[],MATCH(R13,Machines[#Headers],0),FALSE)+VLOOKUP(MachinesUSBDia,Machines[],MATCH(R13,Machines[#Headers],0),FALSE)/2),NOT(ISNUMBER(VLOOKUP(MachinesConstantHF,Machines[],MATCH(R13,Machines[#Headers],0),FALSE))),NOT(ISNUMBER(VLOOKUP(MachinesConstantVF,Machines[],MATCH(R13,Machines[#Headers],0),FALSE)))),"-",IF(SQRT(((R12/2)+(R$15-VLOOKUP(MachinesUSBDia,Machines[],MATCH(R13,Machines[#Headers],0),FALSE)/2))^2-VLOOKUP(MachinesConstantHF,Machines[],MATCH(R13,Machines[#Headers],0),FALSE)^2)-VLOOKUP(MachinesConstantVF,Machines[],MATCH(R13,Machines[#Headers],0),FALSE)+VLOOKUP(MachinesUSBDia,Machines[],MATCH(R13,Machines[#Headers],0),FALSE)/2&lt;0,"-", SQRT(((R12/2)+(R$15-VLOOKUP(MachinesUSBDia,Machines[],MATCH(R13,Machines[#Headers],0),FALSE)/2))^2-VLOOKUP(MachinesConstantHF,Machines[],MATCH(R13,Machines[#Headers],0),FALSE)^2)-VLOOKUP(MachinesConstantVF,Machines[],MATCH(R13,Machines[#Headers],0),FALSE)+VLOOKUP(MachinesUSBDia,Machines[],MATCH(R13,Machines[#Headers],0),FALSE)/2)))</f>
        <v>95.838084420323298</v>
      </c>
      <c r="S19" s="39">
        <f ca="1">IF(S13="",IF(ISERROR(SQRT(((S12/2)+(S$15-VariableUSBDia/2))^2-VariableVHF^2)-ConstantVF+VariableUSBDia/2),"-",IF(SQRT(((S12/2)+(S$15-$C$16/2))^2-VariableVHF^2)-ConstantVF+VariableUSBDia/2&lt;0,"-", SQRT(((S12/2)+(S$15-VariableUSBDia/2))^2-VariableVHF^2)-ConstantVF+VariableUSBDia/2)),IF(OR(ISERROR(SQRT(((S12/2)+(S$15-VLOOKUP(MachinesUSBDia,Machines[],MATCH(S13,Machines[#Headers],0),FALSE)/2))^2-VLOOKUP(MachinesConstantHF,Machines[],MATCH(S13,Machines[#Headers],0),FALSE)^2)-VLOOKUP(MachinesConstantVF,Machines[],MATCH(S13,Machines[#Headers],0),FALSE)+VLOOKUP(MachinesUSBDia,Machines[],MATCH(S13,Machines[#Headers],0),FALSE)/2),NOT(ISNUMBER(VLOOKUP(MachinesConstantHF,Machines[],MATCH(S13,Machines[#Headers],0),FALSE))),NOT(ISNUMBER(VLOOKUP(MachinesConstantVF,Machines[],MATCH(S13,Machines[#Headers],0),FALSE)))),"-",IF(SQRT(((S12/2)+(S$15-VLOOKUP(MachinesUSBDia,Machines[],MATCH(S13,Machines[#Headers],0),FALSE)/2))^2-VLOOKUP(MachinesConstantHF,Machines[],MATCH(S13,Machines[#Headers],0),FALSE)^2)-VLOOKUP(MachinesConstantVF,Machines[],MATCH(S13,Machines[#Headers],0),FALSE)+VLOOKUP(MachinesUSBDia,Machines[],MATCH(S13,Machines[#Headers],0),FALSE)/2&lt;0,"-", SQRT(((S12/2)+(S$15-VLOOKUP(MachinesUSBDia,Machines[],MATCH(S13,Machines[#Headers],0),FALSE)/2))^2-VLOOKUP(MachinesConstantHF,Machines[],MATCH(S13,Machines[#Headers],0),FALSE)^2)-VLOOKUP(MachinesConstantVF,Machines[],MATCH(S13,Machines[#Headers],0),FALSE)+VLOOKUP(MachinesUSBDia,Machines[],MATCH(S13,Machines[#Headers],0),FALSE)/2)))</f>
        <v>95.838084420323298</v>
      </c>
      <c r="T19" s="39">
        <f ca="1">IF(T13="",IF(ISERROR(SQRT(((T12/2)+(T$15-VariableUSBDia/2))^2-VariableVHF^2)-ConstantVF+VariableUSBDia/2),"-",IF(SQRT(((T12/2)+(T$15-$C$16/2))^2-VariableVHF^2)-ConstantVF+VariableUSBDia/2&lt;0,"-", SQRT(((T12/2)+(T$15-VariableUSBDia/2))^2-VariableVHF^2)-ConstantVF+VariableUSBDia/2)),IF(OR(ISERROR(SQRT(((T12/2)+(T$15-VLOOKUP(MachinesUSBDia,Machines[],MATCH(T13,Machines[#Headers],0),FALSE)/2))^2-VLOOKUP(MachinesConstantHF,Machines[],MATCH(T13,Machines[#Headers],0),FALSE)^2)-VLOOKUP(MachinesConstantVF,Machines[],MATCH(T13,Machines[#Headers],0),FALSE)+VLOOKUP(MachinesUSBDia,Machines[],MATCH(T13,Machines[#Headers],0),FALSE)/2),NOT(ISNUMBER(VLOOKUP(MachinesConstantHF,Machines[],MATCH(T13,Machines[#Headers],0),FALSE))),NOT(ISNUMBER(VLOOKUP(MachinesConstantVF,Machines[],MATCH(T13,Machines[#Headers],0),FALSE)))),"-",IF(SQRT(((T12/2)+(T$15-VLOOKUP(MachinesUSBDia,Machines[],MATCH(T13,Machines[#Headers],0),FALSE)/2))^2-VLOOKUP(MachinesConstantHF,Machines[],MATCH(T13,Machines[#Headers],0),FALSE)^2)-VLOOKUP(MachinesConstantVF,Machines[],MATCH(T13,Machines[#Headers],0),FALSE)+VLOOKUP(MachinesUSBDia,Machines[],MATCH(T13,Machines[#Headers],0),FALSE)/2&lt;0,"-", SQRT(((T12/2)+(T$15-VLOOKUP(MachinesUSBDia,Machines[],MATCH(T13,Machines[#Headers],0),FALSE)/2))^2-VLOOKUP(MachinesConstantHF,Machines[],MATCH(T13,Machines[#Headers],0),FALSE)^2)-VLOOKUP(MachinesConstantVF,Machines[],MATCH(T13,Machines[#Headers],0),FALSE)+VLOOKUP(MachinesUSBDia,Machines[],MATCH(T13,Machines[#Headers],0),FALSE)/2)))</f>
        <v>60.263673784994509</v>
      </c>
    </row>
    <row r="20" spans="2:20" ht="15" customHeight="1" x14ac:dyDescent="0.25">
      <c r="B20" s="26" t="s">
        <v>65</v>
      </c>
      <c r="C20" s="12">
        <f>IF(OR($D$20=0,ISTEXT($D$20)),DefaultConstantVH,$D$20)</f>
        <v>81.099999999999994</v>
      </c>
      <c r="D20" s="2"/>
      <c r="E20" s="13"/>
    </row>
    <row r="21" spans="2:20" ht="15" customHeight="1" x14ac:dyDescent="0.25">
      <c r="B21" s="26" t="s">
        <v>66</v>
      </c>
      <c r="C21" s="12">
        <f>IF(OR($D$21=0,ISTEXT($D$21)),DefaultConstantVH+DefaultConstantFVBBody+$C$13,$D$21+$C$13)</f>
        <v>142.80000000000001</v>
      </c>
      <c r="D21" s="2"/>
      <c r="E21" s="13"/>
    </row>
    <row r="22" spans="2:20" ht="15" customHeight="1" x14ac:dyDescent="0.25">
      <c r="B22" s="26" t="s">
        <v>67</v>
      </c>
      <c r="C22" s="12">
        <f>IF(OR($D$22=0,ISTEXT($D$22)),DefaultConstantVF,$D$22)</f>
        <v>56</v>
      </c>
      <c r="D22" s="2"/>
      <c r="E22" s="13"/>
      <c r="L22" s="6"/>
    </row>
    <row r="23" spans="2:20" x14ac:dyDescent="0.25">
      <c r="B23" s="34"/>
      <c r="C23" s="12"/>
      <c r="D23" s="22"/>
      <c r="E23" s="13"/>
      <c r="R23" s="6"/>
    </row>
    <row r="24" spans="2:20" hidden="1" x14ac:dyDescent="0.25">
      <c r="B24" s="8"/>
      <c r="C24" s="21"/>
      <c r="D24" s="37"/>
      <c r="E24" s="13"/>
      <c r="J24" s="108"/>
      <c r="K24" s="107"/>
      <c r="L24" s="106"/>
    </row>
    <row r="25" spans="2:20" ht="15" hidden="1" customHeight="1" x14ac:dyDescent="0.25">
      <c r="B25" s="8" t="s">
        <v>53</v>
      </c>
      <c r="C25" s="37">
        <f ca="1">VariableJPL-(VariableUSBDia/2)</f>
        <v>132</v>
      </c>
      <c r="D25" s="37"/>
      <c r="E25" s="13"/>
      <c r="N25" s="28"/>
    </row>
    <row r="26" spans="2:20" hidden="1" x14ac:dyDescent="0.25">
      <c r="B26" s="8" t="s">
        <v>4</v>
      </c>
      <c r="C26" s="37">
        <f ca="1">IF(VariableJTD=NotAvailable,NotAvailable,VariableJTD/2+VariableUSBDia/2)</f>
        <v>12</v>
      </c>
      <c r="D26" s="37"/>
      <c r="E26" s="13"/>
    </row>
    <row r="27" spans="2:20" hidden="1" x14ac:dyDescent="0.25">
      <c r="B27" s="8" t="s">
        <v>2</v>
      </c>
      <c r="C27" s="37">
        <f ca="1">IF(VariableJC=NotAvailable,NotAvailable,SQRT(VariableJC^2+VariableJG^2))</f>
        <v>132.54433220624713</v>
      </c>
      <c r="D27" s="37"/>
      <c r="E27" s="13"/>
      <c r="F27" s="16"/>
    </row>
    <row r="28" spans="2:20" hidden="1" x14ac:dyDescent="0.25">
      <c r="B28" s="8" t="s">
        <v>3</v>
      </c>
      <c r="C28" s="37">
        <f ca="1">IF(VariableJC=NotAvailable,NotAvailable,DEGREES(ATAN(VariableJC/VariableJG)))</f>
        <v>5.1944289077348058</v>
      </c>
      <c r="D28" s="37"/>
      <c r="E28" s="13"/>
    </row>
    <row r="29" spans="2:20" hidden="1" x14ac:dyDescent="0.25">
      <c r="B29" s="93"/>
      <c r="C29" s="93"/>
      <c r="D29" s="93"/>
      <c r="E29" s="13"/>
      <c r="F29" s="13"/>
      <c r="G29" s="13"/>
      <c r="N29" s="6"/>
    </row>
    <row r="30" spans="2:20" x14ac:dyDescent="0.25">
      <c r="B30" s="93"/>
      <c r="C30" s="93"/>
      <c r="D30" s="93"/>
      <c r="E30" s="13"/>
      <c r="F30" s="27"/>
      <c r="G30" s="13"/>
      <c r="H30" s="13"/>
      <c r="J30" s="13"/>
      <c r="K30" s="13"/>
      <c r="L30" s="13"/>
      <c r="M30" s="13"/>
      <c r="N30" s="13"/>
      <c r="O30" s="13"/>
      <c r="P30" s="13"/>
      <c r="Q30" s="13"/>
      <c r="R30" s="13"/>
      <c r="S30" s="13"/>
    </row>
    <row r="31" spans="2:20" x14ac:dyDescent="0.25">
      <c r="B31" s="262" t="str">
        <f>IF(OR($C$4="",$C$4=SheetName01),InCellName01&amp;" info",IF($C$4=SheetName02,InCellName02&amp;" info",""))</f>
        <v>Knife info</v>
      </c>
      <c r="C31" s="263"/>
      <c r="D31" s="264"/>
      <c r="E31" s="27"/>
      <c r="F31" s="43"/>
    </row>
    <row r="32" spans="2:20" x14ac:dyDescent="0.25">
      <c r="B32" s="117" t="s">
        <v>205</v>
      </c>
      <c r="C32" s="12">
        <f ca="1">IF(AND($C$7&lt;&gt;"",NOT(ISERROR(MATCH($C$7,INDIRECT($C$4&amp;"ListTable["&amp;INDIRECT("$C$4")&amp;"List]"),0)))),IF(INDEX(INDIRECT($C$4&amp;"[Grinded]"),MATCH($C$7,INDIRECT($C$4&amp;"ListTable["&amp;INDIRECT("$C$4")&amp;"List]"),0))&lt;&gt;"",INDEX(INDIRECT($C$4&amp;"[Grinded]"),MATCH($C$7,INDIRECT($C$4&amp;"ListTable["&amp;INDIRECT("$C$4")&amp;"List]"),0)),NotAvailable),"")</f>
        <v>20</v>
      </c>
      <c r="D32" s="95">
        <f ca="1">IF(AND($C$7&lt;&gt;"",NOT(ISERROR(MATCH($C$7,INDIRECT($C$4&amp;"ListTable["&amp;INDIRECT("$C$4")&amp;"List]"),0)))),IF(INDEX(INDIRECT($C$4&amp;"[Measured]"),MATCH($C$7,INDIRECT($C$4&amp;"ListTable["&amp;INDIRECT("$C$4")&amp;"List]"),0))&lt;&gt;"",INDEX(INDIRECT($C$4&amp;"[Measured]"),MATCH($C$7,INDIRECT($C$4&amp;"ListTable["&amp;INDIRECT("$C$4")&amp;"List]"),0)),NotAvailable),"")</f>
        <v>22.1</v>
      </c>
      <c r="E32" s="13"/>
      <c r="F32" s="13"/>
      <c r="J32" s="6"/>
      <c r="K32" s="6"/>
    </row>
    <row r="33" spans="2:18" hidden="1" x14ac:dyDescent="0.25">
      <c r="B33" s="118" t="str">
        <f ca="1">IF(OR($C$4="",$C$4=INDIRECT("Settings!"&amp;ADDRESS(ROW(SheetNames[#Headers])+1,COLUMN(SheetNames[#Headers])))),"Last used jig | Jig diameter [mm]",IF($C$4=INDIRECT("Settings!"&amp;ADDRESS(ROW(SheetNames[#Headers])+2,COLUMN(SheetNames[#Headers]))),"Last used jig | Jig diameter [mm]",""))</f>
        <v>Last used jig | Jig diameter [mm]</v>
      </c>
      <c r="C33" s="119" t="str">
        <f ca="1">IF(AND($C$7&lt;&gt;"",NOT(ISERROR(MATCH($C$7,INDIRECT($C$4&amp;"ListTable["&amp;INDIRECT("$C$4")&amp;"List]"),0)))),IF(INDEX(INDIRECT($C$4&amp;"[Jig type]"),MATCH($C$7,INDIRECT($C$4&amp;"ListTable["&amp;INDIRECT("$C$4")&amp;"List]"),0))&lt;&gt;"",INDEX(INDIRECT($C$4&amp;"[Jig type]"),MATCH($C$7,INDIRECT($C$4&amp;"ListTable["&amp;INDIRECT("$C$4")&amp;"List]"),0)),NotAvailable),"")</f>
        <v>SVM-45 E</v>
      </c>
      <c r="D33" s="12">
        <f ca="1">IF(AND($C$7&lt;&gt;"",NOT(ISERROR(MATCH($C$7,INDIRECT($C$4&amp;"ListTable["&amp;INDIRECT("$C$4")&amp;"List]"),0)))),IF(INDEX(INDIRECT($C$4&amp;"[Jig dia M]"),MATCH($C$7,INDIRECT($C$4&amp;"ListTable["&amp;INDIRECT("$C$4")&amp;"List]"),0))&lt;&gt;"",INDEX(INDIRECT($C$4&amp;"[Jig dia M]"),MATCH($C$7,INDIRECT($C$4&amp;"ListTable["&amp;INDIRECT("$C$4")&amp;"List]"),0)),NotAvailable),"")</f>
        <v>15.3</v>
      </c>
      <c r="E33" s="13"/>
      <c r="F33" s="13"/>
      <c r="G33" s="13"/>
    </row>
    <row r="34" spans="2:18" hidden="1" x14ac:dyDescent="0.25">
      <c r="B34" s="120" t="str">
        <f ca="1">IF(OR($C$4="",$C$4=INDIRECT("Settings!"&amp;ADDRESS(ROW(SheetNames[#Headers])+1,COLUMN(SheetNames[#Headers])))),"Clamping from Guard / Spine [mm]",IF($C$4=INDIRECT("Settings!"&amp;ADDRESS(ROW(SheetNames[#Headers])+2,COLUMN(SheetNames[#Headers]))),"Clamping from the Jig / Side [mm]",""))&amp;IF(AND($C$7&lt;&gt;"",NOT(ISERROR(MATCH($C$7,INDIRECT($C$4&amp;"ListTable["&amp;INDIRECT("$C$4")&amp;"List]"),0)))),
IF(INDEX(INDIRECT($C$4&amp;"[Jig setting]"),MATCH($C$7,INDIRECT($C$4&amp;"ListTable["&amp;INDIRECT("$C$4")&amp;"List]"),0))&lt;&gt;""," | Jig setting",""),"")</f>
        <v>Clamping from Guard / Spine [mm]</v>
      </c>
      <c r="C34" s="119" t="str">
        <f ca="1">IF(AND($C$7&lt;&gt;"",NOT(ISERROR(MATCH($C$7,INDIRECT($C$4&amp;"ListTable["&amp;INDIRECT("$C$4")&amp;"List]"),0)))),IF(INDEX(INDIRECT($C$4&amp;"[from G]"),MATCH($C$7,INDIRECT($C$4&amp;"ListTable["&amp;INDIRECT("$C$4")&amp;"List]"),0))&lt;&gt;"",TEXT(INDEX(INDIRECT($C$4&amp;"[from G]"),MATCH($C$7,INDIRECT($C$4&amp;"ListTable["&amp;INDIRECT("$C$4")&amp;"List]"),0)),"0,0"),"?")&amp;" / "&amp;IF(INDEX(INDIRECT($C$4&amp;"[from S]"),MATCH($C$7,INDIRECT($C$4&amp;"ListTable["&amp;INDIRECT("$C$4")&amp;"List]"),0))&lt;&gt;"",TEXT(INDEX(INDIRECT($C$4&amp;"[from S]"),MATCH($C$7,INDIRECT($C$4&amp;"ListTable["&amp;INDIRECT("$C$4")&amp;"List]"),0)),"0,0"),"?"),"")</f>
        <v>4,0 / 11,5</v>
      </c>
      <c r="D34" s="119" t="str">
        <f ca="1">IF(AND($C$7&lt;&gt;"",NOT(ISERROR(MATCH($C$7,INDIRECT($C$4&amp;"ListTable["&amp;INDIRECT("$C$4")&amp;"List]"),0)))),
IF(INDEX(INDIRECT($C$4&amp;"[Jig setting]"),MATCH($C$7,INDIRECT($C$4&amp;"ListTable["&amp;INDIRECT("$C$4")&amp;"List]"),0))&lt;&gt;"",TEXT(INDEX(INDIRECT($C$4&amp;"[Jig setting]"),MATCH($C$7,INDIRECT($C$4&amp;"ListTable["&amp;INDIRECT("$C$4")&amp;"List]"),0)),"0"),""),"")</f>
        <v/>
      </c>
      <c r="E34" s="13"/>
    </row>
    <row r="35" spans="2:18" x14ac:dyDescent="0.25">
      <c r="B35" s="64" t="s">
        <v>240</v>
      </c>
      <c r="C35" s="12">
        <f ca="1">IF(AND($C$7&lt;&gt;"",NOT(ISERROR(MATCH($C$7,INDIRECT($C$4&amp;"ListTable["&amp;INDIRECT("$C$4")&amp;"List]"),0)))),IF(INDEX(INDIRECT($C$4&amp;"[Edge thickness]"),MATCH($C$7,INDIRECT($C$4&amp;"ListTable["&amp;INDIRECT("$C$4")&amp;"List]"),0))&lt;&gt;"",INDEX(INDIRECT($C$4&amp;"[Edge thickness]"),MATCH($C$7,INDIRECT($C$4&amp;"ListTable["&amp;INDIRECT("$C$4")&amp;"List]"),0)),""),"")</f>
        <v>0.8</v>
      </c>
      <c r="D35" s="12">
        <f ca="1">IF(AND($C$7&lt;&gt;"",NOT(ISERROR(MATCH($C$7,INDIRECT($C$4&amp;"ListTable["&amp;INDIRECT("$C$4")&amp;"List]"),0)))),IF(INDEX(INDIRECT($C$4&amp;"[Edge height]"),MATCH($C$7,INDIRECT($C$4&amp;"ListTable["&amp;INDIRECT("$C$4")&amp;"List]"),0))&lt;&gt;"",INDEX(INDIRECT($C$4&amp;"[Edge height]"),MATCH($C$7,INDIRECT($C$4&amp;"ListTable["&amp;INDIRECT("$C$4")&amp;"List]"),0)),""),"")</f>
        <v>1</v>
      </c>
      <c r="E35" s="13"/>
      <c r="J35" s="6"/>
      <c r="M35" s="13"/>
      <c r="O35" s="41"/>
      <c r="P35" s="41"/>
      <c r="Q35" s="41"/>
      <c r="R35" s="41"/>
    </row>
    <row r="36" spans="2:18" x14ac:dyDescent="0.25">
      <c r="B36" s="120" t="s">
        <v>263</v>
      </c>
      <c r="C36" s="260" t="str">
        <f ca="1">IF(AND($C$7&lt;&gt;"",NOT(ISERROR(MATCH($C$7,INDIRECT($C$4&amp;"ListTable["&amp;INDIRECT("$C$4")&amp;"List]"),0)))),IF(INDEX(INDIRECT($C$4&amp;"[USB height]"),MATCH($C$7,INDIRECT($C$4&amp;"ListTable["&amp;INDIRECT("$C$4")&amp;"List]"),0))&lt;&gt;"",INDEX(INDIRECT($C$4&amp;"[USB height]"),MATCH($C$7,INDIRECT($C$4&amp;"ListTable["&amp;INDIRECT("$C$4")&amp;"List]"),0)),""),"")</f>
        <v/>
      </c>
      <c r="D36" s="261"/>
      <c r="E36" s="13"/>
      <c r="M36" s="13"/>
      <c r="O36" s="41"/>
      <c r="P36" s="41"/>
      <c r="Q36" s="41"/>
      <c r="R36" s="41"/>
    </row>
    <row r="37" spans="2:18" x14ac:dyDescent="0.25">
      <c r="B37" s="118" t="s">
        <v>37</v>
      </c>
      <c r="C37" s="260" t="str">
        <f ca="1">IF(AND($C$7&lt;&gt;"",NOT(ISERROR(MATCH($C$7,INDIRECT($C$4&amp;"ListTable["&amp;INDIRECT("$C$4")&amp;"List]"),0)))),IF(INDEX(INDIRECT($C$4&amp;"[Grind profile]"),MATCH($C$7,INDIRECT($C$4&amp;"ListTable["&amp;INDIRECT("$C$4")&amp;"List]"),0))&lt;&gt;"",INDEX(INDIRECT($C$4&amp;"[Grind profile]"),MATCH($C$7,INDIRECT($C$4&amp;"ListTable["&amp;INDIRECT("$C$4")&amp;"List]"),0)),""),"")</f>
        <v>High Flat</v>
      </c>
      <c r="D37" s="261"/>
      <c r="E37" s="13"/>
      <c r="M37" s="13"/>
      <c r="O37" s="41"/>
      <c r="P37" s="41"/>
      <c r="Q37" s="41"/>
      <c r="R37" s="41"/>
    </row>
    <row r="38" spans="2:18" x14ac:dyDescent="0.25">
      <c r="B38" s="118" t="s">
        <v>132</v>
      </c>
      <c r="C38" s="256" t="str">
        <f ca="1">IF(AND($C$7&lt;&gt;"",NOT(ISERROR(MATCH($C$7,INDIRECT($C$4&amp;"ListTable["&amp;INDIRECT("$C$4")&amp;"List]"),0)))),IF(INDEX(INDIRECT($C$4&amp;"[Procedure]"),MATCH($C$7,INDIRECT($C$4&amp;"ListTable["&amp;INDIRECT("$C$4")&amp;"List]"),0))&lt;&gt;"",INDEX(INDIRECT($C$4&amp;"[Procedure]"),MATCH($C$7,INDIRECT($C$4&amp;"ListTable["&amp;INDIRECT("$C$4")&amp;"List]"),0)),""),"")</f>
        <v>SG, ST800, SJ, LA-Chromox</v>
      </c>
      <c r="D38" s="257"/>
      <c r="E38" s="13"/>
      <c r="M38" s="13"/>
      <c r="O38" s="41"/>
      <c r="P38" s="41"/>
      <c r="Q38" s="41"/>
      <c r="R38" s="41"/>
    </row>
    <row r="39" spans="2:18" x14ac:dyDescent="0.25">
      <c r="B39" s="118" t="s">
        <v>149</v>
      </c>
      <c r="C39" s="258" t="str">
        <f ca="1">IF(AND($C$7&lt;&gt;"",NOT(ISERROR(MATCH($C$7,INDIRECT($C$4&amp;"ListTable["&amp;INDIRECT("$C$4")&amp;"List]"),0)))),IF(INDEX(INDIRECT($C$4&amp;"[Material]"),MATCH($C$7,INDIRECT($C$4&amp;"ListTable["&amp;INDIRECT("$C$4")&amp;"List]"),0))&lt;&gt;"",INDEX(INDIRECT($C$4&amp;"[Material]"),MATCH($C$7,INDIRECT($C$4&amp;"ListTable["&amp;INDIRECT("$C$4")&amp;"List]"),0)),""),"")</f>
        <v>D2</v>
      </c>
      <c r="D39" s="259"/>
      <c r="E39" s="13"/>
      <c r="G39" s="7"/>
      <c r="M39" s="13"/>
      <c r="O39" s="41"/>
      <c r="P39" s="41"/>
      <c r="Q39" s="41"/>
      <c r="R39" s="41"/>
    </row>
    <row r="40" spans="2:18" ht="15" customHeight="1" x14ac:dyDescent="0.25">
      <c r="B40" s="220" t="s">
        <v>299</v>
      </c>
      <c r="C40" s="221"/>
      <c r="D40" s="222"/>
      <c r="E40" s="42"/>
      <c r="P40" s="41"/>
      <c r="Q40" s="41"/>
      <c r="R40" s="41"/>
    </row>
    <row r="41" spans="2:18" ht="15" customHeight="1" x14ac:dyDescent="0.25">
      <c r="B41" s="250" t="str">
        <f ca="1">IF(AND($C$7&lt;&gt;"",NOT(ISERROR(MATCH($C$7,INDIRECT($C$4&amp;"ListTable["&amp;INDIRECT("$C$4")&amp;"List]"),0)))),IF(INDEX(INDIRECT($C$4&amp;"[Notes]"),MATCH($C$7,INDIRECT($C$4&amp;"ListTable["&amp;INDIRECT("$C$4")&amp;"List]"),0))&lt;&gt;"",INDEX(INDIRECT($C$4&amp;"[Notes]"),MATCH($C$7,INDIRECT($C$4&amp;"ListTable["&amp;INDIRECT("$C$4")&amp;"List]"),0)),""),"")</f>
        <v>Uneven grinding from the factory, grinding angle corrected to 20 °.</v>
      </c>
      <c r="C41" s="251"/>
      <c r="D41" s="252"/>
      <c r="E41" s="13"/>
      <c r="G41" s="43"/>
    </row>
    <row r="42" spans="2:18" x14ac:dyDescent="0.25">
      <c r="B42" s="250"/>
      <c r="C42" s="251"/>
      <c r="D42" s="252"/>
    </row>
    <row r="43" spans="2:18" x14ac:dyDescent="0.25">
      <c r="B43" s="250"/>
      <c r="C43" s="251"/>
      <c r="D43" s="252"/>
    </row>
    <row r="44" spans="2:18" x14ac:dyDescent="0.25">
      <c r="B44" s="250"/>
      <c r="C44" s="251"/>
      <c r="D44" s="252"/>
    </row>
    <row r="45" spans="2:18" x14ac:dyDescent="0.25">
      <c r="B45" s="250"/>
      <c r="C45" s="251"/>
      <c r="D45" s="252"/>
    </row>
    <row r="46" spans="2:18" x14ac:dyDescent="0.25">
      <c r="B46" s="253"/>
      <c r="C46" s="254"/>
      <c r="D46" s="255"/>
    </row>
  </sheetData>
  <sheetProtection sheet="1" objects="1" scenarios="1" formatCells="0" formatColumns="0" formatRows="0"/>
  <mergeCells count="14">
    <mergeCell ref="B41:D46"/>
    <mergeCell ref="C38:D38"/>
    <mergeCell ref="C39:D39"/>
    <mergeCell ref="C37:D37"/>
    <mergeCell ref="B31:D31"/>
    <mergeCell ref="C36:D36"/>
    <mergeCell ref="C3:D3"/>
    <mergeCell ref="B2:D2"/>
    <mergeCell ref="C15:D15"/>
    <mergeCell ref="C9:D9"/>
    <mergeCell ref="C7:D7"/>
    <mergeCell ref="C4:D4"/>
    <mergeCell ref="C5:D5"/>
    <mergeCell ref="C8:D8"/>
  </mergeCells>
  <conditionalFormatting sqref="G17:T19">
    <cfRule type="expression" dxfId="158" priority="2">
      <formula>ISERR(G17)</formula>
    </cfRule>
  </conditionalFormatting>
  <conditionalFormatting sqref="B4:D4">
    <cfRule type="expression" dxfId="157" priority="50">
      <formula>$C$4=SheetName02</formula>
    </cfRule>
    <cfRule type="expression" dxfId="156" priority="51">
      <formula>$C$4=SheetName01</formula>
    </cfRule>
  </conditionalFormatting>
  <conditionalFormatting sqref="C7:D7">
    <cfRule type="expression" dxfId="155" priority="41">
      <formula>$C$4=""</formula>
    </cfRule>
    <cfRule type="expression" dxfId="154" priority="48">
      <formula>$C$4=SheetName01</formula>
    </cfRule>
    <cfRule type="expression" dxfId="153" priority="49">
      <formula>$C$4=SheetName02</formula>
    </cfRule>
  </conditionalFormatting>
  <conditionalFormatting sqref="C8:D8">
    <cfRule type="expression" dxfId="152" priority="45">
      <formula>C8&lt;&gt;""</formula>
    </cfRule>
    <cfRule type="expression" dxfId="151" priority="47">
      <formula>C8=""</formula>
    </cfRule>
  </conditionalFormatting>
  <conditionalFormatting sqref="C4:D4">
    <cfRule type="expression" dxfId="150" priority="44">
      <formula>$C$4=""</formula>
    </cfRule>
  </conditionalFormatting>
  <conditionalFormatting sqref="G18:T19">
    <cfRule type="cellIs" dxfId="149" priority="40" operator="lessThan">
      <formula>Min_H_HFUSB_105</formula>
    </cfRule>
    <cfRule type="cellIs" dxfId="148" priority="59" operator="greaterThan">
      <formula>Max_H_HFUSB_430</formula>
    </cfRule>
  </conditionalFormatting>
  <conditionalFormatting sqref="G13:T13">
    <cfRule type="cellIs" dxfId="147" priority="1" operator="notEqual">
      <formula>""</formula>
    </cfRule>
  </conditionalFormatting>
  <conditionalFormatting sqref="G17:T17">
    <cfRule type="cellIs" dxfId="146" priority="87" operator="lessThan">
      <formula>Min_H_VUSB_105</formula>
    </cfRule>
    <cfRule type="cellIs" dxfId="145" priority="88" operator="greaterThan">
      <formula>Max_H_VUSB_430</formula>
    </cfRule>
    <cfRule type="expression" dxfId="144" priority="89">
      <formula>OFFSET(G$17,-6,,,)=220</formula>
    </cfRule>
    <cfRule type="cellIs" dxfId="143" priority="90" operator="greaterThan">
      <formula>Max_H_VUSB_105</formula>
    </cfRule>
  </conditionalFormatting>
  <conditionalFormatting sqref="G15:T15">
    <cfRule type="cellIs" dxfId="142" priority="91" operator="equal">
      <formula>"-"</formula>
    </cfRule>
    <cfRule type="expression" dxfId="141" priority="92">
      <formula>AND(G$13="",G$15&lt;$C$16)</formula>
    </cfRule>
  </conditionalFormatting>
  <conditionalFormatting sqref="G19:T19">
    <cfRule type="cellIs" dxfId="140" priority="70" operator="greaterThan">
      <formula>Max_H_HFUSB_105</formula>
    </cfRule>
  </conditionalFormatting>
  <conditionalFormatting sqref="G18:T18">
    <cfRule type="cellIs" dxfId="139" priority="61" operator="greaterThan">
      <formula>Max_H_HFUSB_105</formula>
    </cfRule>
  </conditionalFormatting>
  <dataValidations count="5">
    <dataValidation type="list" allowBlank="1" sqref="D13">
      <mc:AlternateContent xmlns:x12ac="http://schemas.microsoft.com/office/spreadsheetml/2011/1/ac" xmlns:mc="http://schemas.openxmlformats.org/markup-compatibility/2006">
        <mc:Choice Requires="x12ac">
          <x12ac:list>"24,5",50,75,100</x12ac:list>
        </mc:Choice>
        <mc:Fallback>
          <formula1>"24,5,50,75,100"</formula1>
        </mc:Fallback>
      </mc:AlternateContent>
    </dataValidation>
    <dataValidation type="list" allowBlank="1" showInputMessage="1" showErrorMessage="1" sqref="C8:D8">
      <formula1>IF($C$4=SheetName01,JigsKnivesDList,IF($C$4=SheetName02,JigsToolsDList,EmptyData))</formula1>
    </dataValidation>
    <dataValidation type="list" allowBlank="1" showErrorMessage="1" sqref="C7:D7">
      <formula1>IF($C$4=SheetName01,KnivesDList,IF($C$4=SheetName02,ToolsDList,EmptyData))</formula1>
    </dataValidation>
    <dataValidation type="list" allowBlank="1" showErrorMessage="1" sqref="C4:D4">
      <formula1>INDIRECT("SheetNames[SheetName]")</formula1>
    </dataValidation>
    <dataValidation type="list" allowBlank="1" showInputMessage="1" showErrorMessage="1" sqref="G13:T13">
      <formula1>IF(COUNTIFS(OFFSET(INDIRECT("Machines[[#Záhlaví];[Setting description]]"),2,1),"&lt;&gt;")=0,SetMachines,MachinesDList)</formula1>
    </dataValidation>
  </dataValidations>
  <pageMargins left="0.7" right="0.7" top="0.78740157499999996" bottom="0.78740157499999996" header="0.3" footer="0.3"/>
  <pageSetup paperSize="9" scale="42" orientation="landscape"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expression" priority="94" id="{6FA06928-CD7E-43C2-8786-CD8E9E51E884}">
            <xm:f>AND(G$13&lt;&gt;"",G$15&lt;=VLOOKUP(MachinesUSBDia,Settings!$H$5:$M$25,MATCH(G$13,Settings!$H$4:$M$4,0),FALSE))</xm:f>
            <x14:dxf>
              <fill>
                <patternFill>
                  <bgColor theme="0" tint="-0.499984740745262"/>
                </patternFill>
              </fill>
            </x14:dxf>
          </x14:cfRule>
          <xm:sqref>G15:T15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39997558519241921"/>
    <pageSetUpPr fitToPage="1"/>
  </sheetPr>
  <dimension ref="B1:AG255"/>
  <sheetViews>
    <sheetView zoomScale="90" zoomScaleNormal="90" workbookViewId="0">
      <pane xSplit="4" ySplit="3" topLeftCell="E4" activePane="bottomRight" state="frozen"/>
      <selection pane="topRight" activeCell="E1" sqref="E1"/>
      <selection pane="bottomLeft" activeCell="A4" sqref="A4"/>
      <selection pane="bottomRight" activeCell="C6" sqref="C6"/>
    </sheetView>
  </sheetViews>
  <sheetFormatPr defaultRowHeight="15" x14ac:dyDescent="0.25"/>
  <cols>
    <col min="1" max="1" width="1.7109375" style="5" customWidth="1"/>
    <col min="2" max="2" width="8.140625" style="5" customWidth="1"/>
    <col min="3" max="3" width="20.42578125" style="81" customWidth="1"/>
    <col min="4" max="4" width="19" style="81" customWidth="1"/>
    <col min="5" max="5" width="10.42578125" style="5" customWidth="1"/>
    <col min="6" max="9" width="12.7109375" style="5" customWidth="1"/>
    <col min="10" max="10" width="10.7109375" style="5" customWidth="1"/>
    <col min="11" max="15" width="12.7109375" style="5" customWidth="1"/>
    <col min="16" max="16" width="17.85546875" style="81" customWidth="1"/>
    <col min="17" max="17" width="7.28515625" style="5" customWidth="1"/>
    <col min="18" max="18" width="9.28515625" style="5" customWidth="1"/>
    <col min="19" max="23" width="11.5703125" style="5" customWidth="1"/>
    <col min="24" max="24" width="12.85546875" style="5" customWidth="1"/>
    <col min="25" max="25" width="42" style="5" customWidth="1"/>
    <col min="26" max="29" width="11.140625" style="5" customWidth="1"/>
    <col min="30" max="30" width="121.5703125" style="5" customWidth="1"/>
    <col min="31" max="31" width="35.42578125" style="5" customWidth="1"/>
    <col min="32" max="32" width="9.140625" style="5"/>
    <col min="33" max="33" width="35.7109375" style="5" hidden="1" customWidth="1"/>
    <col min="34" max="16384" width="9.140625" style="5"/>
  </cols>
  <sheetData>
    <row r="1" spans="2:33" x14ac:dyDescent="0.25">
      <c r="F1" s="23"/>
      <c r="G1" s="23"/>
      <c r="H1" s="23"/>
      <c r="I1" s="23"/>
      <c r="J1" s="23"/>
      <c r="K1" s="23"/>
      <c r="L1" s="23"/>
      <c r="M1" s="23"/>
      <c r="N1" s="23"/>
      <c r="O1" s="23"/>
      <c r="Q1" s="23"/>
      <c r="S1" s="23"/>
      <c r="T1" s="23"/>
      <c r="U1" s="23"/>
      <c r="V1" s="23"/>
      <c r="W1" s="23"/>
      <c r="X1" s="23"/>
      <c r="Z1" s="23"/>
      <c r="AA1" s="23"/>
      <c r="AB1" s="23"/>
      <c r="AC1" s="23"/>
    </row>
    <row r="2" spans="2:33" x14ac:dyDescent="0.25">
      <c r="B2" s="151"/>
      <c r="C2" s="265" t="s">
        <v>44</v>
      </c>
      <c r="D2" s="265"/>
      <c r="E2" s="265"/>
      <c r="F2" s="265"/>
      <c r="G2" s="265"/>
      <c r="H2" s="265"/>
      <c r="I2" s="265"/>
      <c r="J2" s="265"/>
      <c r="K2" s="265"/>
      <c r="L2" s="265"/>
      <c r="M2" s="265"/>
      <c r="N2" s="265"/>
      <c r="O2" s="265"/>
      <c r="P2" s="265"/>
      <c r="Q2" s="266"/>
      <c r="R2" s="267" t="s">
        <v>27</v>
      </c>
      <c r="S2" s="268"/>
      <c r="T2" s="268"/>
      <c r="U2" s="269"/>
      <c r="V2" s="267" t="s">
        <v>289</v>
      </c>
      <c r="W2" s="268"/>
      <c r="X2" s="140" t="s">
        <v>126</v>
      </c>
      <c r="Y2" s="82" t="s">
        <v>28</v>
      </c>
      <c r="Z2" s="267" t="s">
        <v>133</v>
      </c>
      <c r="AA2" s="268"/>
      <c r="AB2" s="269"/>
      <c r="AC2" s="140"/>
      <c r="AD2" s="98"/>
      <c r="AE2" s="83"/>
    </row>
    <row r="3" spans="2:33" x14ac:dyDescent="0.25">
      <c r="B3" s="77" t="s">
        <v>76</v>
      </c>
      <c r="C3" s="84" t="s">
        <v>29</v>
      </c>
      <c r="D3" s="85" t="s">
        <v>43</v>
      </c>
      <c r="E3" s="85" t="s">
        <v>31</v>
      </c>
      <c r="F3" s="85" t="s">
        <v>32</v>
      </c>
      <c r="G3" s="85" t="s">
        <v>33</v>
      </c>
      <c r="H3" s="85" t="s">
        <v>34</v>
      </c>
      <c r="I3" s="85" t="s">
        <v>35</v>
      </c>
      <c r="J3" s="85" t="s">
        <v>36</v>
      </c>
      <c r="K3" s="85" t="s">
        <v>37</v>
      </c>
      <c r="L3" s="85" t="s">
        <v>131</v>
      </c>
      <c r="M3" s="85" t="s">
        <v>45</v>
      </c>
      <c r="N3" s="85" t="s">
        <v>109</v>
      </c>
      <c r="O3" s="132" t="s">
        <v>95</v>
      </c>
      <c r="P3" s="85" t="s">
        <v>38</v>
      </c>
      <c r="Q3" s="85" t="s">
        <v>39</v>
      </c>
      <c r="R3" s="85" t="s">
        <v>118</v>
      </c>
      <c r="S3" s="87" t="s">
        <v>40</v>
      </c>
      <c r="T3" s="85" t="s">
        <v>57</v>
      </c>
      <c r="U3" s="85" t="s">
        <v>124</v>
      </c>
      <c r="V3" s="103" t="s">
        <v>150</v>
      </c>
      <c r="W3" s="103" t="s">
        <v>151</v>
      </c>
      <c r="X3" s="85" t="s">
        <v>125</v>
      </c>
      <c r="Y3" s="85" t="s">
        <v>117</v>
      </c>
      <c r="Z3" s="85" t="s">
        <v>50</v>
      </c>
      <c r="AA3" s="85" t="s">
        <v>204</v>
      </c>
      <c r="AB3" s="85" t="s">
        <v>121</v>
      </c>
      <c r="AC3" s="103" t="s">
        <v>276</v>
      </c>
      <c r="AD3" s="150" t="s">
        <v>134</v>
      </c>
      <c r="AE3" s="77" t="s">
        <v>108</v>
      </c>
      <c r="AG3" s="5" t="s">
        <v>115</v>
      </c>
    </row>
    <row r="4" spans="2:33" x14ac:dyDescent="0.25">
      <c r="B4" s="80">
        <f t="shared" ref="B4:B67" si="0">IF(C4&lt;&gt;"",ROW(A1),"")</f>
        <v>1</v>
      </c>
      <c r="C4" s="78" t="s">
        <v>79</v>
      </c>
      <c r="D4" s="78" t="s">
        <v>81</v>
      </c>
      <c r="E4" s="78" t="s">
        <v>14</v>
      </c>
      <c r="F4" s="47">
        <v>221</v>
      </c>
      <c r="G4" s="47">
        <v>97</v>
      </c>
      <c r="H4" s="47">
        <v>99</v>
      </c>
      <c r="I4" s="47">
        <v>28</v>
      </c>
      <c r="J4" s="47">
        <v>3.5</v>
      </c>
      <c r="K4" s="44" t="s">
        <v>77</v>
      </c>
      <c r="L4" s="47">
        <v>20</v>
      </c>
      <c r="M4" s="47">
        <v>10</v>
      </c>
      <c r="N4" s="47">
        <v>0.8</v>
      </c>
      <c r="O4" s="47">
        <v>1</v>
      </c>
      <c r="P4" s="78" t="s">
        <v>80</v>
      </c>
      <c r="Q4" s="44">
        <v>58</v>
      </c>
      <c r="R4" s="78" t="s">
        <v>127</v>
      </c>
      <c r="S4" s="47">
        <v>138</v>
      </c>
      <c r="T4" s="47">
        <v>15.3</v>
      </c>
      <c r="U4" s="111"/>
      <c r="V4" s="47">
        <v>4</v>
      </c>
      <c r="W4" s="47">
        <v>11.5</v>
      </c>
      <c r="X4" s="147"/>
      <c r="Y4" s="78" t="s">
        <v>305</v>
      </c>
      <c r="Z4" s="47"/>
      <c r="AA4" s="47">
        <v>22.1</v>
      </c>
      <c r="AB4" s="47">
        <v>20</v>
      </c>
      <c r="AC4" s="47"/>
      <c r="AD4" s="78" t="s">
        <v>315</v>
      </c>
      <c r="AE4" s="90" t="str">
        <f>IF(C4&lt;&gt;"",HYPERLINK(CONCATENATE(SheetName01,"\",Knives[[#This Row],[Manufacturer]],IF(Knives[[#This Row],[Model]]&lt;&gt;""," "&amp;Knives[[#This Row],[Model]],),".jpg"),CONCATENATE(Knives[[#This Row],[Manufacturer]],IF(Knives[[#This Row],[Model]]&lt;&gt;""," "&amp;Knives[[#This Row],[Model]],),".jpg")),"")</f>
        <v>ANV P200.jpg</v>
      </c>
      <c r="AG4" s="5" t="str">
        <f>IF(B4="","",(CONCATENATE(TEXT(B4,"000")," ",C4," ",D4)))</f>
        <v>001 ANV P200</v>
      </c>
    </row>
    <row r="5" spans="2:33" x14ac:dyDescent="0.25">
      <c r="B5" s="80">
        <f t="shared" si="0"/>
        <v>2</v>
      </c>
      <c r="C5" s="78" t="s">
        <v>286</v>
      </c>
      <c r="D5" s="78" t="s">
        <v>287</v>
      </c>
      <c r="E5" s="78" t="s">
        <v>14</v>
      </c>
      <c r="F5" s="47">
        <v>252</v>
      </c>
      <c r="G5" s="47">
        <v>133</v>
      </c>
      <c r="H5" s="47">
        <v>110</v>
      </c>
      <c r="I5" s="47">
        <v>70</v>
      </c>
      <c r="J5" s="47">
        <v>4.3</v>
      </c>
      <c r="K5" s="44" t="s">
        <v>42</v>
      </c>
      <c r="L5" s="47"/>
      <c r="M5" s="47"/>
      <c r="N5" s="47"/>
      <c r="O5" s="47"/>
      <c r="P5" s="78" t="s">
        <v>84</v>
      </c>
      <c r="Q5" s="44">
        <v>59</v>
      </c>
      <c r="R5" s="78" t="s">
        <v>41</v>
      </c>
      <c r="S5" s="47">
        <v>182</v>
      </c>
      <c r="T5" s="47">
        <v>12</v>
      </c>
      <c r="U5" s="111"/>
      <c r="V5" s="47">
        <v>25</v>
      </c>
      <c r="W5" s="47">
        <v>13</v>
      </c>
      <c r="X5" s="147"/>
      <c r="Y5" s="147" t="s">
        <v>85</v>
      </c>
      <c r="Z5" s="47"/>
      <c r="AA5" s="47">
        <v>20.5</v>
      </c>
      <c r="AB5" s="47">
        <v>20</v>
      </c>
      <c r="AC5" s="47"/>
      <c r="AD5" s="78" t="s">
        <v>314</v>
      </c>
      <c r="AE5" s="90" t="str">
        <f>IF(C5&lt;&gt;"",HYPERLINK(CONCATENATE(SheetName01,"\",Knives[[#This Row],[Manufacturer]],IF(Knives[[#This Row],[Model]]&lt;&gt;""," "&amp;Knives[[#This Row],[Model]],),".jpg"),CONCATENATE(Knives[[#This Row],[Manufacturer]],IF(Knives[[#This Row],[Model]]&lt;&gt;""," "&amp;Knives[[#This Row],[Model]],),".jpg")),"")</f>
        <v>Leomatik XL.jpg</v>
      </c>
      <c r="AG5" s="5" t="str">
        <f>IF(B5="","",(CONCATENATE(TEXT(B5,"000")," ",C5," ",D5)))</f>
        <v>002 Leomatik XL</v>
      </c>
    </row>
    <row r="6" spans="2:33" x14ac:dyDescent="0.25">
      <c r="B6" s="80" t="str">
        <f t="shared" si="0"/>
        <v/>
      </c>
      <c r="C6" s="79"/>
      <c r="D6" s="79"/>
      <c r="E6" s="78"/>
      <c r="F6" s="49"/>
      <c r="G6" s="49"/>
      <c r="H6" s="49"/>
      <c r="I6" s="49"/>
      <c r="J6" s="49"/>
      <c r="K6" s="50"/>
      <c r="L6" s="49"/>
      <c r="M6" s="49"/>
      <c r="N6" s="49"/>
      <c r="O6" s="49"/>
      <c r="P6" s="79"/>
      <c r="Q6" s="50"/>
      <c r="R6" s="79"/>
      <c r="S6" s="49"/>
      <c r="T6" s="49"/>
      <c r="U6" s="112"/>
      <c r="V6" s="49"/>
      <c r="W6" s="49"/>
      <c r="X6" s="148"/>
      <c r="Y6" s="78"/>
      <c r="Z6" s="49"/>
      <c r="AA6" s="49"/>
      <c r="AB6" s="49"/>
      <c r="AC6" s="49"/>
      <c r="AD6" s="79"/>
      <c r="AE6" s="91" t="str">
        <f>IF(C6&lt;&gt;"",HYPERLINK(CONCATENATE(SheetName01,"\",Knives[[#This Row],[Manufacturer]],IF(Knives[[#This Row],[Model]]&lt;&gt;""," "&amp;Knives[[#This Row],[Model]],),".jpg"),CONCATENATE(Knives[[#This Row],[Manufacturer]],IF(Knives[[#This Row],[Model]]&lt;&gt;""," "&amp;Knives[[#This Row],[Model]],),".jpg")),"")</f>
        <v/>
      </c>
      <c r="AG6" s="5" t="str">
        <f>IF(B6="","",(CONCATENATE(TEXT(B6,"000")," ",C6," ",D6)))</f>
        <v/>
      </c>
    </row>
    <row r="7" spans="2:33" x14ac:dyDescent="0.25">
      <c r="B7" s="80" t="str">
        <f t="shared" si="0"/>
        <v/>
      </c>
      <c r="C7" s="78"/>
      <c r="D7" s="78"/>
      <c r="E7" s="78"/>
      <c r="F7" s="47"/>
      <c r="G7" s="47"/>
      <c r="H7" s="47"/>
      <c r="I7" s="47"/>
      <c r="J7" s="47"/>
      <c r="K7" s="44"/>
      <c r="L7" s="47"/>
      <c r="M7" s="47"/>
      <c r="N7" s="47"/>
      <c r="O7" s="47"/>
      <c r="P7" s="78"/>
      <c r="Q7" s="44"/>
      <c r="R7" s="78"/>
      <c r="S7" s="47"/>
      <c r="T7" s="47"/>
      <c r="U7" s="111"/>
      <c r="V7" s="47"/>
      <c r="W7" s="47"/>
      <c r="X7" s="147"/>
      <c r="Y7" s="79"/>
      <c r="Z7" s="47"/>
      <c r="AA7" s="47"/>
      <c r="AB7" s="47"/>
      <c r="AC7" s="47"/>
      <c r="AD7" s="78"/>
      <c r="AE7" s="91" t="str">
        <f>IF(C7&lt;&gt;"",HYPERLINK(CONCATENATE(SheetName01,"\",Knives[[#This Row],[Manufacturer]],IF(Knives[[#This Row],[Model]]&lt;&gt;""," "&amp;Knives[[#This Row],[Model]],),".jpg"),CONCATENATE(Knives[[#This Row],[Manufacturer]],IF(Knives[[#This Row],[Model]]&lt;&gt;""," "&amp;Knives[[#This Row],[Model]],),".jpg")),"")</f>
        <v/>
      </c>
      <c r="AG7" s="5" t="str">
        <f t="shared" ref="AG7:AG70" si="1">IF(B7="","",(CONCATENATE(TEXT(B7,"000")," ",C7," ",D7)))</f>
        <v/>
      </c>
    </row>
    <row r="8" spans="2:33" x14ac:dyDescent="0.25">
      <c r="B8" s="80" t="str">
        <f t="shared" si="0"/>
        <v/>
      </c>
      <c r="C8" s="78"/>
      <c r="D8" s="78"/>
      <c r="E8" s="78"/>
      <c r="F8" s="47"/>
      <c r="G8" s="47"/>
      <c r="H8" s="47"/>
      <c r="I8" s="47"/>
      <c r="J8" s="47"/>
      <c r="K8" s="44"/>
      <c r="L8" s="47"/>
      <c r="M8" s="47"/>
      <c r="N8" s="47"/>
      <c r="O8" s="47"/>
      <c r="P8" s="78"/>
      <c r="Q8" s="44"/>
      <c r="R8" s="78"/>
      <c r="S8" s="47"/>
      <c r="T8" s="47"/>
      <c r="U8" s="111"/>
      <c r="V8" s="47"/>
      <c r="W8" s="47"/>
      <c r="X8" s="147"/>
      <c r="Y8" s="79"/>
      <c r="Z8" s="47"/>
      <c r="AA8" s="47"/>
      <c r="AB8" s="47"/>
      <c r="AC8" s="47"/>
      <c r="AD8" s="78"/>
      <c r="AE8" s="91" t="str">
        <f>IF(C8&lt;&gt;"",HYPERLINK(CONCATENATE(SheetName01,"\",Knives[[#This Row],[Manufacturer]],IF(Knives[[#This Row],[Model]]&lt;&gt;""," "&amp;Knives[[#This Row],[Model]],),".jpg"),CONCATENATE(Knives[[#This Row],[Manufacturer]],IF(Knives[[#This Row],[Model]]&lt;&gt;""," "&amp;Knives[[#This Row],[Model]],),".jpg")),"")</f>
        <v/>
      </c>
      <c r="AG8" s="5" t="str">
        <f t="shared" si="1"/>
        <v/>
      </c>
    </row>
    <row r="9" spans="2:33" x14ac:dyDescent="0.25">
      <c r="B9" s="80" t="str">
        <f t="shared" si="0"/>
        <v/>
      </c>
      <c r="C9" s="88"/>
      <c r="D9" s="89"/>
      <c r="E9" s="78"/>
      <c r="F9" s="47"/>
      <c r="G9" s="47"/>
      <c r="H9" s="47"/>
      <c r="I9" s="47"/>
      <c r="J9" s="47"/>
      <c r="K9" s="44"/>
      <c r="L9" s="47"/>
      <c r="M9" s="47"/>
      <c r="N9" s="47"/>
      <c r="O9" s="47"/>
      <c r="P9" s="78"/>
      <c r="Q9" s="44"/>
      <c r="R9" s="78"/>
      <c r="S9" s="47"/>
      <c r="T9" s="47"/>
      <c r="U9" s="111"/>
      <c r="V9" s="47"/>
      <c r="W9" s="47"/>
      <c r="X9" s="147"/>
      <c r="Y9" s="79"/>
      <c r="Z9" s="47"/>
      <c r="AA9" s="47"/>
      <c r="AB9" s="47"/>
      <c r="AC9" s="47"/>
      <c r="AD9" s="78"/>
      <c r="AE9" s="91" t="str">
        <f>IF(C9&lt;&gt;"",HYPERLINK(CONCATENATE(SheetName01,"\",Knives[[#This Row],[Manufacturer]],IF(Knives[[#This Row],[Model]]&lt;&gt;""," "&amp;Knives[[#This Row],[Model]],),".jpg"),CONCATENATE(Knives[[#This Row],[Manufacturer]],IF(Knives[[#This Row],[Model]]&lt;&gt;""," "&amp;Knives[[#This Row],[Model]],),".jpg")),"")</f>
        <v/>
      </c>
      <c r="AG9" s="5" t="str">
        <f t="shared" si="1"/>
        <v/>
      </c>
    </row>
    <row r="10" spans="2:33" x14ac:dyDescent="0.25">
      <c r="B10" s="80" t="str">
        <f t="shared" si="0"/>
        <v/>
      </c>
      <c r="C10" s="78"/>
      <c r="D10" s="78"/>
      <c r="E10" s="78"/>
      <c r="F10" s="47"/>
      <c r="G10" s="47"/>
      <c r="H10" s="47"/>
      <c r="I10" s="47"/>
      <c r="J10" s="47"/>
      <c r="K10" s="44"/>
      <c r="L10" s="47"/>
      <c r="M10" s="47"/>
      <c r="N10" s="47"/>
      <c r="O10" s="47"/>
      <c r="P10" s="78"/>
      <c r="Q10" s="44"/>
      <c r="R10" s="78"/>
      <c r="S10" s="47"/>
      <c r="T10" s="47"/>
      <c r="U10" s="111"/>
      <c r="V10" s="47"/>
      <c r="W10" s="47"/>
      <c r="X10" s="147"/>
      <c r="Y10" s="79"/>
      <c r="Z10" s="47"/>
      <c r="AA10" s="47"/>
      <c r="AB10" s="47"/>
      <c r="AC10" s="47"/>
      <c r="AD10" s="78"/>
      <c r="AE10" s="91" t="str">
        <f>IF(C10&lt;&gt;"",HYPERLINK(CONCATENATE(SheetName01,"\",Knives[[#This Row],[Manufacturer]],IF(Knives[[#This Row],[Model]]&lt;&gt;""," "&amp;Knives[[#This Row],[Model]],),".jpg"),CONCATENATE(Knives[[#This Row],[Manufacturer]],IF(Knives[[#This Row],[Model]]&lt;&gt;""," "&amp;Knives[[#This Row],[Model]],),".jpg")),"")</f>
        <v/>
      </c>
      <c r="AG10" s="5" t="str">
        <f t="shared" si="1"/>
        <v/>
      </c>
    </row>
    <row r="11" spans="2:33" x14ac:dyDescent="0.25">
      <c r="B11" s="80" t="str">
        <f t="shared" si="0"/>
        <v/>
      </c>
      <c r="C11" s="78"/>
      <c r="D11" s="78"/>
      <c r="E11" s="78"/>
      <c r="F11" s="47"/>
      <c r="G11" s="47"/>
      <c r="H11" s="47"/>
      <c r="I11" s="47"/>
      <c r="J11" s="47"/>
      <c r="K11" s="44"/>
      <c r="L11" s="47"/>
      <c r="M11" s="47"/>
      <c r="N11" s="47"/>
      <c r="O11" s="47"/>
      <c r="P11" s="78"/>
      <c r="Q11" s="44"/>
      <c r="R11" s="78"/>
      <c r="S11" s="47"/>
      <c r="T11" s="47"/>
      <c r="U11" s="111"/>
      <c r="V11" s="47"/>
      <c r="W11" s="47"/>
      <c r="X11" s="147"/>
      <c r="Y11" s="79"/>
      <c r="Z11" s="47"/>
      <c r="AA11" s="47"/>
      <c r="AB11" s="47"/>
      <c r="AC11" s="47"/>
      <c r="AD11" s="78"/>
      <c r="AE11" s="91" t="str">
        <f>IF(C11&lt;&gt;"",HYPERLINK(CONCATENATE(SheetName01,"\",Knives[[#This Row],[Manufacturer]],IF(Knives[[#This Row],[Model]]&lt;&gt;""," "&amp;Knives[[#This Row],[Model]],),".jpg"),CONCATENATE(Knives[[#This Row],[Manufacturer]],IF(Knives[[#This Row],[Model]]&lt;&gt;""," "&amp;Knives[[#This Row],[Model]],),".jpg")),"")</f>
        <v/>
      </c>
      <c r="AG11" s="5" t="str">
        <f t="shared" si="1"/>
        <v/>
      </c>
    </row>
    <row r="12" spans="2:33" x14ac:dyDescent="0.25">
      <c r="B12" s="80" t="str">
        <f t="shared" si="0"/>
        <v/>
      </c>
      <c r="C12" s="78"/>
      <c r="D12" s="78"/>
      <c r="E12" s="78"/>
      <c r="F12" s="47"/>
      <c r="G12" s="47"/>
      <c r="H12" s="47"/>
      <c r="I12" s="47"/>
      <c r="J12" s="47"/>
      <c r="K12" s="44"/>
      <c r="L12" s="47"/>
      <c r="M12" s="47"/>
      <c r="N12" s="47"/>
      <c r="O12" s="47"/>
      <c r="P12" s="78"/>
      <c r="Q12" s="44"/>
      <c r="R12" s="78"/>
      <c r="S12" s="47"/>
      <c r="T12" s="47"/>
      <c r="U12" s="111"/>
      <c r="V12" s="47"/>
      <c r="W12" s="47"/>
      <c r="X12" s="147"/>
      <c r="Y12" s="79"/>
      <c r="Z12" s="47"/>
      <c r="AA12" s="47"/>
      <c r="AB12" s="47"/>
      <c r="AC12" s="47"/>
      <c r="AD12" s="78"/>
      <c r="AE12" s="90" t="str">
        <f>IF(C12&lt;&gt;"",HYPERLINK(CONCATENATE(SheetName01,"\",Knives[[#This Row],[Manufacturer]],IF(Knives[[#This Row],[Model]]&lt;&gt;""," "&amp;Knives[[#This Row],[Model]],),".jpg"),CONCATENATE(Knives[[#This Row],[Manufacturer]],IF(Knives[[#This Row],[Model]]&lt;&gt;""," "&amp;Knives[[#This Row],[Model]],),".jpg")),"")</f>
        <v/>
      </c>
      <c r="AG12" s="5" t="str">
        <f t="shared" si="1"/>
        <v/>
      </c>
    </row>
    <row r="13" spans="2:33" x14ac:dyDescent="0.25">
      <c r="B13" s="80" t="str">
        <f t="shared" si="0"/>
        <v/>
      </c>
      <c r="C13" s="78"/>
      <c r="D13" s="78"/>
      <c r="E13" s="78"/>
      <c r="F13" s="47"/>
      <c r="G13" s="47"/>
      <c r="H13" s="47"/>
      <c r="I13" s="47"/>
      <c r="J13" s="47"/>
      <c r="K13" s="44"/>
      <c r="L13" s="47"/>
      <c r="M13" s="47"/>
      <c r="N13" s="47"/>
      <c r="O13" s="47"/>
      <c r="P13" s="78"/>
      <c r="Q13" s="44"/>
      <c r="R13" s="78"/>
      <c r="S13" s="47"/>
      <c r="T13" s="47"/>
      <c r="U13" s="111"/>
      <c r="V13" s="47"/>
      <c r="W13" s="47"/>
      <c r="X13" s="147"/>
      <c r="Y13" s="78"/>
      <c r="Z13" s="47"/>
      <c r="AA13" s="47"/>
      <c r="AB13" s="47"/>
      <c r="AC13" s="47"/>
      <c r="AD13" s="78"/>
      <c r="AE13" s="90" t="str">
        <f>IF(C13&lt;&gt;"",HYPERLINK(CONCATENATE(SheetName01,"\",Knives[[#This Row],[Manufacturer]],IF(Knives[[#This Row],[Model]]&lt;&gt;""," "&amp;Knives[[#This Row],[Model]],),".jpg"),CONCATENATE(Knives[[#This Row],[Manufacturer]],IF(Knives[[#This Row],[Model]]&lt;&gt;""," "&amp;Knives[[#This Row],[Model]],),".jpg")),"")</f>
        <v/>
      </c>
      <c r="AG13" s="5" t="str">
        <f t="shared" si="1"/>
        <v/>
      </c>
    </row>
    <row r="14" spans="2:33" x14ac:dyDescent="0.25">
      <c r="B14" s="80" t="str">
        <f t="shared" si="0"/>
        <v/>
      </c>
      <c r="C14" s="78"/>
      <c r="D14" s="78"/>
      <c r="E14" s="78"/>
      <c r="F14" s="47"/>
      <c r="G14" s="47"/>
      <c r="H14" s="47"/>
      <c r="I14" s="47"/>
      <c r="J14" s="47"/>
      <c r="K14" s="44"/>
      <c r="L14" s="47"/>
      <c r="M14" s="47"/>
      <c r="N14" s="47"/>
      <c r="O14" s="47"/>
      <c r="P14" s="78"/>
      <c r="Q14" s="44"/>
      <c r="R14" s="78"/>
      <c r="S14" s="47"/>
      <c r="T14" s="47"/>
      <c r="U14" s="111"/>
      <c r="V14" s="47"/>
      <c r="W14" s="47"/>
      <c r="X14" s="147"/>
      <c r="Y14" s="78"/>
      <c r="Z14" s="47"/>
      <c r="AA14" s="47"/>
      <c r="AB14" s="47"/>
      <c r="AC14" s="47"/>
      <c r="AD14" s="78"/>
      <c r="AE14" s="90" t="str">
        <f>IF(C14&lt;&gt;"",HYPERLINK(CONCATENATE(SheetName01,"\",Knives[[#This Row],[Manufacturer]],IF(Knives[[#This Row],[Model]]&lt;&gt;""," "&amp;Knives[[#This Row],[Model]],),".jpg"),CONCATENATE(Knives[[#This Row],[Manufacturer]],IF(Knives[[#This Row],[Model]]&lt;&gt;""," "&amp;Knives[[#This Row],[Model]],),".jpg")),"")</f>
        <v/>
      </c>
      <c r="AG14" s="5" t="str">
        <f t="shared" si="1"/>
        <v/>
      </c>
    </row>
    <row r="15" spans="2:33" x14ac:dyDescent="0.25">
      <c r="B15" s="80" t="str">
        <f t="shared" si="0"/>
        <v/>
      </c>
      <c r="C15" s="78"/>
      <c r="D15" s="78"/>
      <c r="E15" s="78"/>
      <c r="F15" s="47"/>
      <c r="G15" s="47"/>
      <c r="H15" s="47"/>
      <c r="I15" s="47"/>
      <c r="J15" s="47"/>
      <c r="K15" s="44"/>
      <c r="L15" s="47"/>
      <c r="M15" s="47"/>
      <c r="N15" s="47"/>
      <c r="O15" s="47"/>
      <c r="P15" s="78"/>
      <c r="Q15" s="44"/>
      <c r="R15" s="78"/>
      <c r="S15" s="47"/>
      <c r="T15" s="47"/>
      <c r="U15" s="111"/>
      <c r="V15" s="47"/>
      <c r="W15" s="47"/>
      <c r="X15" s="147"/>
      <c r="Y15" s="78"/>
      <c r="Z15" s="47"/>
      <c r="AA15" s="47"/>
      <c r="AB15" s="47"/>
      <c r="AC15" s="47"/>
      <c r="AD15" s="78"/>
      <c r="AE15" s="90" t="str">
        <f>IF(C15&lt;&gt;"",HYPERLINK(CONCATENATE(SheetName01,"\",Knives[[#This Row],[Manufacturer]],IF(Knives[[#This Row],[Model]]&lt;&gt;""," "&amp;Knives[[#This Row],[Model]],),".jpg"),CONCATENATE(Knives[[#This Row],[Manufacturer]],IF(Knives[[#This Row],[Model]]&lt;&gt;""," "&amp;Knives[[#This Row],[Model]],),".jpg")),"")</f>
        <v/>
      </c>
      <c r="AG15" s="5" t="str">
        <f t="shared" si="1"/>
        <v/>
      </c>
    </row>
    <row r="16" spans="2:33" x14ac:dyDescent="0.25">
      <c r="B16" s="80" t="str">
        <f t="shared" si="0"/>
        <v/>
      </c>
      <c r="C16" s="78"/>
      <c r="D16" s="78"/>
      <c r="E16" s="78"/>
      <c r="F16" s="47"/>
      <c r="G16" s="47"/>
      <c r="H16" s="47"/>
      <c r="I16" s="47"/>
      <c r="J16" s="47"/>
      <c r="K16" s="44"/>
      <c r="L16" s="47"/>
      <c r="M16" s="47"/>
      <c r="N16" s="47"/>
      <c r="O16" s="47"/>
      <c r="P16" s="78"/>
      <c r="Q16" s="44"/>
      <c r="R16" s="78"/>
      <c r="S16" s="47"/>
      <c r="T16" s="47"/>
      <c r="U16" s="111"/>
      <c r="V16" s="47"/>
      <c r="W16" s="47"/>
      <c r="X16" s="147"/>
      <c r="Y16" s="78"/>
      <c r="Z16" s="47"/>
      <c r="AA16" s="47"/>
      <c r="AB16" s="47"/>
      <c r="AC16" s="47"/>
      <c r="AD16" s="78"/>
      <c r="AE16" s="90" t="str">
        <f>IF(C16&lt;&gt;"",HYPERLINK(CONCATENATE(SheetName01,"\",Knives[[#This Row],[Manufacturer]],IF(Knives[[#This Row],[Model]]&lt;&gt;""," "&amp;Knives[[#This Row],[Model]],),".jpg"),CONCATENATE(Knives[[#This Row],[Manufacturer]],IF(Knives[[#This Row],[Model]]&lt;&gt;""," "&amp;Knives[[#This Row],[Model]],),".jpg")),"")</f>
        <v/>
      </c>
      <c r="AG16" s="5" t="str">
        <f t="shared" si="1"/>
        <v/>
      </c>
    </row>
    <row r="17" spans="2:33" x14ac:dyDescent="0.25">
      <c r="B17" s="80" t="str">
        <f t="shared" si="0"/>
        <v/>
      </c>
      <c r="C17" s="78"/>
      <c r="D17" s="78"/>
      <c r="E17" s="78"/>
      <c r="F17" s="47"/>
      <c r="G17" s="47"/>
      <c r="H17" s="47"/>
      <c r="I17" s="47"/>
      <c r="J17" s="47"/>
      <c r="K17" s="44"/>
      <c r="L17" s="47"/>
      <c r="M17" s="47"/>
      <c r="N17" s="47"/>
      <c r="O17" s="47"/>
      <c r="P17" s="78"/>
      <c r="Q17" s="44"/>
      <c r="R17" s="78"/>
      <c r="S17" s="47"/>
      <c r="T17" s="47"/>
      <c r="U17" s="111"/>
      <c r="V17" s="47"/>
      <c r="W17" s="47"/>
      <c r="X17" s="147"/>
      <c r="Y17" s="78"/>
      <c r="Z17" s="47"/>
      <c r="AA17" s="47"/>
      <c r="AB17" s="47"/>
      <c r="AC17" s="47"/>
      <c r="AD17" s="78"/>
      <c r="AE17" s="90" t="str">
        <f>IF(C17&lt;&gt;"",HYPERLINK(CONCATENATE(SheetName01,"\",Knives[[#This Row],[Manufacturer]],IF(Knives[[#This Row],[Model]]&lt;&gt;""," "&amp;Knives[[#This Row],[Model]],),".jpg"),CONCATENATE(Knives[[#This Row],[Manufacturer]],IF(Knives[[#This Row],[Model]]&lt;&gt;""," "&amp;Knives[[#This Row],[Model]],),".jpg")),"")</f>
        <v/>
      </c>
      <c r="AG17" s="5" t="str">
        <f t="shared" si="1"/>
        <v/>
      </c>
    </row>
    <row r="18" spans="2:33" x14ac:dyDescent="0.25">
      <c r="B18" s="80" t="str">
        <f t="shared" si="0"/>
        <v/>
      </c>
      <c r="C18" s="78"/>
      <c r="D18" s="78"/>
      <c r="E18" s="78"/>
      <c r="F18" s="47"/>
      <c r="G18" s="47"/>
      <c r="H18" s="47"/>
      <c r="I18" s="47"/>
      <c r="J18" s="47"/>
      <c r="K18" s="44"/>
      <c r="L18" s="47"/>
      <c r="M18" s="47"/>
      <c r="N18" s="47"/>
      <c r="O18" s="47"/>
      <c r="P18" s="78"/>
      <c r="Q18" s="44"/>
      <c r="R18" s="78"/>
      <c r="S18" s="47"/>
      <c r="T18" s="47"/>
      <c r="U18" s="111"/>
      <c r="V18" s="47"/>
      <c r="W18" s="47"/>
      <c r="X18" s="147"/>
      <c r="Y18" s="78"/>
      <c r="Z18" s="47"/>
      <c r="AA18" s="47"/>
      <c r="AB18" s="47"/>
      <c r="AC18" s="47"/>
      <c r="AD18" s="78"/>
      <c r="AE18" s="90" t="str">
        <f>IF(C18&lt;&gt;"",HYPERLINK(CONCATENATE(SheetName01,"\",Knives[[#This Row],[Manufacturer]],IF(Knives[[#This Row],[Model]]&lt;&gt;""," "&amp;Knives[[#This Row],[Model]],),".jpg"),CONCATENATE(Knives[[#This Row],[Manufacturer]],IF(Knives[[#This Row],[Model]]&lt;&gt;""," "&amp;Knives[[#This Row],[Model]],),".jpg")),"")</f>
        <v/>
      </c>
      <c r="AG18" s="5" t="str">
        <f t="shared" si="1"/>
        <v/>
      </c>
    </row>
    <row r="19" spans="2:33" x14ac:dyDescent="0.25">
      <c r="B19" s="80" t="str">
        <f t="shared" si="0"/>
        <v/>
      </c>
      <c r="C19" s="78"/>
      <c r="D19" s="78"/>
      <c r="E19" s="78"/>
      <c r="F19" s="47"/>
      <c r="G19" s="47"/>
      <c r="H19" s="47"/>
      <c r="I19" s="47"/>
      <c r="J19" s="47"/>
      <c r="K19" s="44"/>
      <c r="L19" s="47"/>
      <c r="M19" s="47"/>
      <c r="N19" s="47"/>
      <c r="O19" s="47"/>
      <c r="P19" s="78"/>
      <c r="Q19" s="44"/>
      <c r="R19" s="78"/>
      <c r="S19" s="47"/>
      <c r="T19" s="47"/>
      <c r="U19" s="111"/>
      <c r="V19" s="47"/>
      <c r="W19" s="47"/>
      <c r="X19" s="147"/>
      <c r="Y19" s="78"/>
      <c r="Z19" s="47"/>
      <c r="AA19" s="47"/>
      <c r="AB19" s="47"/>
      <c r="AC19" s="47"/>
      <c r="AD19" s="78"/>
      <c r="AE19" s="90" t="str">
        <f>IF(C19&lt;&gt;"",HYPERLINK(CONCATENATE(SheetName01,"\",Knives[[#This Row],[Manufacturer]],IF(Knives[[#This Row],[Model]]&lt;&gt;""," "&amp;Knives[[#This Row],[Model]],),".jpg"),CONCATENATE(Knives[[#This Row],[Manufacturer]],IF(Knives[[#This Row],[Model]]&lt;&gt;""," "&amp;Knives[[#This Row],[Model]],),".jpg")),"")</f>
        <v/>
      </c>
      <c r="AG19" s="5" t="str">
        <f t="shared" si="1"/>
        <v/>
      </c>
    </row>
    <row r="20" spans="2:33" x14ac:dyDescent="0.25">
      <c r="B20" s="80" t="str">
        <f t="shared" si="0"/>
        <v/>
      </c>
      <c r="C20" s="78"/>
      <c r="D20" s="78"/>
      <c r="E20" s="78"/>
      <c r="F20" s="47"/>
      <c r="G20" s="47"/>
      <c r="H20" s="47"/>
      <c r="I20" s="47"/>
      <c r="J20" s="47"/>
      <c r="K20" s="44"/>
      <c r="L20" s="47"/>
      <c r="M20" s="47"/>
      <c r="N20" s="47"/>
      <c r="O20" s="47"/>
      <c r="P20" s="78"/>
      <c r="Q20" s="44"/>
      <c r="R20" s="78"/>
      <c r="S20" s="47"/>
      <c r="T20" s="47"/>
      <c r="U20" s="111"/>
      <c r="V20" s="47"/>
      <c r="W20" s="47"/>
      <c r="X20" s="147"/>
      <c r="Y20" s="78"/>
      <c r="Z20" s="47"/>
      <c r="AA20" s="47"/>
      <c r="AB20" s="47"/>
      <c r="AC20" s="47"/>
      <c r="AD20" s="78"/>
      <c r="AE20" s="90" t="str">
        <f>IF(C20&lt;&gt;"",HYPERLINK(CONCATENATE(SheetName01,"\",Knives[[#This Row],[Manufacturer]],IF(Knives[[#This Row],[Model]]&lt;&gt;""," "&amp;Knives[[#This Row],[Model]],),".jpg"),CONCATENATE(Knives[[#This Row],[Manufacturer]],IF(Knives[[#This Row],[Model]]&lt;&gt;""," "&amp;Knives[[#This Row],[Model]],),".jpg")),"")</f>
        <v/>
      </c>
      <c r="AG20" s="5" t="str">
        <f t="shared" si="1"/>
        <v/>
      </c>
    </row>
    <row r="21" spans="2:33" x14ac:dyDescent="0.25">
      <c r="B21" s="80" t="str">
        <f t="shared" si="0"/>
        <v/>
      </c>
      <c r="C21" s="78"/>
      <c r="D21" s="78"/>
      <c r="E21" s="78"/>
      <c r="F21" s="47"/>
      <c r="G21" s="47"/>
      <c r="H21" s="47"/>
      <c r="I21" s="47"/>
      <c r="J21" s="47"/>
      <c r="K21" s="44"/>
      <c r="L21" s="47"/>
      <c r="M21" s="47"/>
      <c r="N21" s="47"/>
      <c r="O21" s="47"/>
      <c r="P21" s="78"/>
      <c r="Q21" s="44"/>
      <c r="R21" s="78"/>
      <c r="S21" s="47"/>
      <c r="T21" s="47"/>
      <c r="U21" s="111"/>
      <c r="V21" s="47"/>
      <c r="W21" s="47"/>
      <c r="X21" s="147"/>
      <c r="Y21" s="78"/>
      <c r="Z21" s="47"/>
      <c r="AA21" s="47"/>
      <c r="AB21" s="47"/>
      <c r="AC21" s="47"/>
      <c r="AD21" s="78"/>
      <c r="AE21" s="90" t="str">
        <f>IF(C21&lt;&gt;"",HYPERLINK(CONCATENATE(SheetName01,"\",Knives[[#This Row],[Manufacturer]],IF(Knives[[#This Row],[Model]]&lt;&gt;""," "&amp;Knives[[#This Row],[Model]],),".jpg"),CONCATENATE(Knives[[#This Row],[Manufacturer]],IF(Knives[[#This Row],[Model]]&lt;&gt;""," "&amp;Knives[[#This Row],[Model]],),".jpg")),"")</f>
        <v/>
      </c>
      <c r="AG21" s="5" t="str">
        <f t="shared" si="1"/>
        <v/>
      </c>
    </row>
    <row r="22" spans="2:33" x14ac:dyDescent="0.25">
      <c r="B22" s="80" t="str">
        <f t="shared" si="0"/>
        <v/>
      </c>
      <c r="C22" s="78"/>
      <c r="D22" s="78"/>
      <c r="E22" s="78"/>
      <c r="F22" s="47"/>
      <c r="G22" s="47"/>
      <c r="H22" s="47"/>
      <c r="I22" s="47"/>
      <c r="J22" s="47"/>
      <c r="K22" s="44"/>
      <c r="L22" s="47"/>
      <c r="M22" s="47"/>
      <c r="N22" s="47"/>
      <c r="O22" s="47"/>
      <c r="P22" s="78"/>
      <c r="Q22" s="44"/>
      <c r="R22" s="78"/>
      <c r="S22" s="47"/>
      <c r="T22" s="47"/>
      <c r="U22" s="111"/>
      <c r="V22" s="47"/>
      <c r="W22" s="47"/>
      <c r="X22" s="147"/>
      <c r="Y22" s="78"/>
      <c r="Z22" s="47"/>
      <c r="AA22" s="47"/>
      <c r="AB22" s="47"/>
      <c r="AC22" s="47"/>
      <c r="AD22" s="78"/>
      <c r="AE22" s="90" t="str">
        <f>IF(C22&lt;&gt;"",HYPERLINK(CONCATENATE(SheetName01,"\",Knives[[#This Row],[Manufacturer]],IF(Knives[[#This Row],[Model]]&lt;&gt;""," "&amp;Knives[[#This Row],[Model]],),".jpg"),CONCATENATE(Knives[[#This Row],[Manufacturer]],IF(Knives[[#This Row],[Model]]&lt;&gt;""," "&amp;Knives[[#This Row],[Model]],),".jpg")),"")</f>
        <v/>
      </c>
      <c r="AG22" s="5" t="str">
        <f t="shared" si="1"/>
        <v/>
      </c>
    </row>
    <row r="23" spans="2:33" x14ac:dyDescent="0.25">
      <c r="B23" s="80" t="str">
        <f t="shared" si="0"/>
        <v/>
      </c>
      <c r="C23" s="78"/>
      <c r="D23" s="78"/>
      <c r="E23" s="78"/>
      <c r="F23" s="47"/>
      <c r="G23" s="47"/>
      <c r="H23" s="47"/>
      <c r="I23" s="47"/>
      <c r="J23" s="47"/>
      <c r="K23" s="44"/>
      <c r="L23" s="47"/>
      <c r="M23" s="47"/>
      <c r="N23" s="47"/>
      <c r="O23" s="47"/>
      <c r="P23" s="78"/>
      <c r="Q23" s="44"/>
      <c r="R23" s="78"/>
      <c r="S23" s="47"/>
      <c r="T23" s="47"/>
      <c r="U23" s="111"/>
      <c r="V23" s="47"/>
      <c r="W23" s="47"/>
      <c r="X23" s="147"/>
      <c r="Y23" s="147"/>
      <c r="Z23" s="47"/>
      <c r="AA23" s="47"/>
      <c r="AB23" s="47"/>
      <c r="AC23" s="47"/>
      <c r="AD23" s="78"/>
      <c r="AE23" s="90" t="str">
        <f>IF(C23&lt;&gt;"",HYPERLINK(CONCATENATE(SheetName01,"\",Knives[[#This Row],[Manufacturer]],IF(Knives[[#This Row],[Model]]&lt;&gt;""," "&amp;Knives[[#This Row],[Model]],),".jpg"),CONCATENATE(Knives[[#This Row],[Manufacturer]],IF(Knives[[#This Row],[Model]]&lt;&gt;""," "&amp;Knives[[#This Row],[Model]],),".jpg")),"")</f>
        <v/>
      </c>
      <c r="AG23" s="5" t="str">
        <f t="shared" si="1"/>
        <v/>
      </c>
    </row>
    <row r="24" spans="2:33" x14ac:dyDescent="0.25">
      <c r="B24" s="80" t="str">
        <f t="shared" si="0"/>
        <v/>
      </c>
      <c r="C24" s="78"/>
      <c r="D24" s="78"/>
      <c r="E24" s="78"/>
      <c r="F24" s="47"/>
      <c r="G24" s="47"/>
      <c r="H24" s="47"/>
      <c r="I24" s="47"/>
      <c r="J24" s="47"/>
      <c r="K24" s="44"/>
      <c r="L24" s="47"/>
      <c r="M24" s="47"/>
      <c r="N24" s="47"/>
      <c r="O24" s="47"/>
      <c r="P24" s="78"/>
      <c r="Q24" s="44"/>
      <c r="R24" s="78"/>
      <c r="S24" s="47"/>
      <c r="T24" s="47"/>
      <c r="U24" s="111"/>
      <c r="V24" s="47"/>
      <c r="W24" s="47"/>
      <c r="X24" s="147"/>
      <c r="Y24" s="78"/>
      <c r="Z24" s="47"/>
      <c r="AA24" s="47"/>
      <c r="AB24" s="47"/>
      <c r="AC24" s="47"/>
      <c r="AD24" s="78"/>
      <c r="AE24" s="90" t="str">
        <f>IF(C24&lt;&gt;"",HYPERLINK(CONCATENATE(SheetName01,"\",Knives[[#This Row],[Manufacturer]],IF(Knives[[#This Row],[Model]]&lt;&gt;""," "&amp;Knives[[#This Row],[Model]],),".jpg"),CONCATENATE(Knives[[#This Row],[Manufacturer]],IF(Knives[[#This Row],[Model]]&lt;&gt;""," "&amp;Knives[[#This Row],[Model]],),".jpg")),"")</f>
        <v/>
      </c>
      <c r="AG24" s="5" t="str">
        <f t="shared" si="1"/>
        <v/>
      </c>
    </row>
    <row r="25" spans="2:33" x14ac:dyDescent="0.25">
      <c r="B25" s="80" t="str">
        <f t="shared" si="0"/>
        <v/>
      </c>
      <c r="C25" s="78"/>
      <c r="D25" s="78"/>
      <c r="E25" s="78"/>
      <c r="F25" s="47"/>
      <c r="G25" s="47"/>
      <c r="H25" s="47"/>
      <c r="I25" s="47"/>
      <c r="J25" s="47"/>
      <c r="K25" s="44"/>
      <c r="L25" s="47"/>
      <c r="M25" s="47"/>
      <c r="N25" s="47"/>
      <c r="O25" s="47"/>
      <c r="P25" s="78"/>
      <c r="Q25" s="44"/>
      <c r="R25" s="78"/>
      <c r="S25" s="47"/>
      <c r="T25" s="47"/>
      <c r="U25" s="111"/>
      <c r="V25" s="47"/>
      <c r="W25" s="47"/>
      <c r="X25" s="147"/>
      <c r="Y25" s="147"/>
      <c r="Z25" s="47"/>
      <c r="AA25" s="47"/>
      <c r="AB25" s="47"/>
      <c r="AC25" s="47"/>
      <c r="AD25" s="78"/>
      <c r="AE25" s="90" t="str">
        <f>IF(C25&lt;&gt;"",HYPERLINK(CONCATENATE(SheetName01,"\",Knives[[#This Row],[Manufacturer]],IF(Knives[[#This Row],[Model]]&lt;&gt;""," "&amp;Knives[[#This Row],[Model]],),".jpg"),CONCATENATE(Knives[[#This Row],[Manufacturer]],IF(Knives[[#This Row],[Model]]&lt;&gt;""," "&amp;Knives[[#This Row],[Model]],),".jpg")),"")</f>
        <v/>
      </c>
      <c r="AG25" s="5" t="str">
        <f t="shared" si="1"/>
        <v/>
      </c>
    </row>
    <row r="26" spans="2:33" x14ac:dyDescent="0.25">
      <c r="B26" s="80" t="str">
        <f t="shared" si="0"/>
        <v/>
      </c>
      <c r="C26" s="78"/>
      <c r="D26" s="78"/>
      <c r="E26" s="78"/>
      <c r="F26" s="47"/>
      <c r="G26" s="47"/>
      <c r="H26" s="47"/>
      <c r="I26" s="47"/>
      <c r="J26" s="47"/>
      <c r="K26" s="44"/>
      <c r="L26" s="47"/>
      <c r="M26" s="47"/>
      <c r="N26" s="47"/>
      <c r="O26" s="47"/>
      <c r="P26" s="78"/>
      <c r="Q26" s="44"/>
      <c r="R26" s="78"/>
      <c r="S26" s="47"/>
      <c r="T26" s="47"/>
      <c r="U26" s="111"/>
      <c r="V26" s="47"/>
      <c r="W26" s="47"/>
      <c r="X26" s="147"/>
      <c r="Y26" s="147"/>
      <c r="Z26" s="47"/>
      <c r="AA26" s="47"/>
      <c r="AB26" s="47"/>
      <c r="AC26" s="47"/>
      <c r="AD26" s="78"/>
      <c r="AE26" s="90" t="str">
        <f>IF(C26&lt;&gt;"",HYPERLINK(CONCATENATE(SheetName01,"\",Knives[[#This Row],[Manufacturer]],IF(Knives[[#This Row],[Model]]&lt;&gt;""," "&amp;Knives[[#This Row],[Model]],),".jpg"),CONCATENATE(Knives[[#This Row],[Manufacturer]],IF(Knives[[#This Row],[Model]]&lt;&gt;""," "&amp;Knives[[#This Row],[Model]],),".jpg")),"")</f>
        <v/>
      </c>
      <c r="AG26" s="5" t="str">
        <f t="shared" si="1"/>
        <v/>
      </c>
    </row>
    <row r="27" spans="2:33" x14ac:dyDescent="0.25">
      <c r="B27" s="80" t="str">
        <f t="shared" si="0"/>
        <v/>
      </c>
      <c r="C27" s="78"/>
      <c r="D27" s="78"/>
      <c r="E27" s="78"/>
      <c r="F27" s="47"/>
      <c r="G27" s="47"/>
      <c r="H27" s="47"/>
      <c r="I27" s="47"/>
      <c r="J27" s="47"/>
      <c r="K27" s="44"/>
      <c r="L27" s="47"/>
      <c r="M27" s="47"/>
      <c r="N27" s="47"/>
      <c r="O27" s="47"/>
      <c r="P27" s="78"/>
      <c r="Q27" s="44"/>
      <c r="R27" s="78"/>
      <c r="S27" s="47"/>
      <c r="T27" s="47"/>
      <c r="U27" s="111"/>
      <c r="V27" s="146"/>
      <c r="W27" s="47"/>
      <c r="X27" s="149"/>
      <c r="Y27" s="78"/>
      <c r="Z27" s="47"/>
      <c r="AA27" s="47"/>
      <c r="AB27" s="47"/>
      <c r="AC27" s="47"/>
      <c r="AD27" s="78"/>
      <c r="AE27" s="90" t="str">
        <f>IF(C27&lt;&gt;"",HYPERLINK(CONCATENATE(SheetName01,"\",Knives[[#This Row],[Manufacturer]],IF(Knives[[#This Row],[Model]]&lt;&gt;""," "&amp;Knives[[#This Row],[Model]],),".jpg"),CONCATENATE(Knives[[#This Row],[Manufacturer]],IF(Knives[[#This Row],[Model]]&lt;&gt;""," "&amp;Knives[[#This Row],[Model]],),".jpg")),"")</f>
        <v/>
      </c>
      <c r="AG27" s="5" t="str">
        <f t="shared" si="1"/>
        <v/>
      </c>
    </row>
    <row r="28" spans="2:33" x14ac:dyDescent="0.25">
      <c r="B28" s="80" t="str">
        <f t="shared" si="0"/>
        <v/>
      </c>
      <c r="C28" s="78"/>
      <c r="D28" s="78"/>
      <c r="E28" s="78"/>
      <c r="F28" s="47"/>
      <c r="G28" s="47"/>
      <c r="H28" s="47"/>
      <c r="I28" s="47"/>
      <c r="J28" s="47"/>
      <c r="K28" s="44"/>
      <c r="L28" s="47"/>
      <c r="M28" s="47"/>
      <c r="N28" s="47"/>
      <c r="O28" s="47"/>
      <c r="P28" s="78"/>
      <c r="Q28" s="44"/>
      <c r="R28" s="78"/>
      <c r="S28" s="47"/>
      <c r="T28" s="47"/>
      <c r="U28" s="111"/>
      <c r="V28" s="47"/>
      <c r="W28" s="47"/>
      <c r="X28" s="147"/>
      <c r="Y28" s="78"/>
      <c r="Z28" s="47"/>
      <c r="AA28" s="47"/>
      <c r="AB28" s="47"/>
      <c r="AC28" s="47"/>
      <c r="AD28" s="78"/>
      <c r="AE28" s="90" t="str">
        <f>IF(C28&lt;&gt;"",HYPERLINK(CONCATENATE(SheetName01,"\",Knives[[#This Row],[Manufacturer]],IF(Knives[[#This Row],[Model]]&lt;&gt;""," "&amp;Knives[[#This Row],[Model]],),".jpg"),CONCATENATE(Knives[[#This Row],[Manufacturer]],IF(Knives[[#This Row],[Model]]&lt;&gt;""," "&amp;Knives[[#This Row],[Model]],),".jpg")),"")</f>
        <v/>
      </c>
      <c r="AG28" s="5" t="str">
        <f t="shared" si="1"/>
        <v/>
      </c>
    </row>
    <row r="29" spans="2:33" x14ac:dyDescent="0.25">
      <c r="B29" s="80" t="str">
        <f t="shared" si="0"/>
        <v/>
      </c>
      <c r="C29" s="78"/>
      <c r="D29" s="78"/>
      <c r="E29" s="78"/>
      <c r="F29" s="47"/>
      <c r="G29" s="47"/>
      <c r="H29" s="47"/>
      <c r="I29" s="47"/>
      <c r="J29" s="47"/>
      <c r="K29" s="44"/>
      <c r="L29" s="47"/>
      <c r="M29" s="47"/>
      <c r="N29" s="47"/>
      <c r="O29" s="47"/>
      <c r="P29" s="78"/>
      <c r="Q29" s="44"/>
      <c r="R29" s="78"/>
      <c r="S29" s="47"/>
      <c r="T29" s="47"/>
      <c r="U29" s="111"/>
      <c r="V29" s="47"/>
      <c r="W29" s="47"/>
      <c r="X29" s="147"/>
      <c r="Y29" s="78"/>
      <c r="Z29" s="47"/>
      <c r="AA29" s="47"/>
      <c r="AB29" s="47"/>
      <c r="AC29" s="47"/>
      <c r="AD29" s="78"/>
      <c r="AE29" s="90" t="str">
        <f>IF(C29&lt;&gt;"",HYPERLINK(CONCATENATE(SheetName01,"\",Knives[[#This Row],[Manufacturer]],IF(Knives[[#This Row],[Model]]&lt;&gt;""," "&amp;Knives[[#This Row],[Model]],),".jpg"),CONCATENATE(Knives[[#This Row],[Manufacturer]],IF(Knives[[#This Row],[Model]]&lt;&gt;""," "&amp;Knives[[#This Row],[Model]],),".jpg")),"")</f>
        <v/>
      </c>
      <c r="AG29" s="5" t="str">
        <f t="shared" si="1"/>
        <v/>
      </c>
    </row>
    <row r="30" spans="2:33" x14ac:dyDescent="0.25">
      <c r="B30" s="80" t="str">
        <f t="shared" si="0"/>
        <v/>
      </c>
      <c r="C30" s="78"/>
      <c r="D30" s="78"/>
      <c r="E30" s="78"/>
      <c r="F30" s="47"/>
      <c r="G30" s="47"/>
      <c r="H30" s="47"/>
      <c r="I30" s="47"/>
      <c r="J30" s="47"/>
      <c r="K30" s="44"/>
      <c r="L30" s="47"/>
      <c r="M30" s="47"/>
      <c r="N30" s="47"/>
      <c r="O30" s="47"/>
      <c r="P30" s="78"/>
      <c r="Q30" s="44"/>
      <c r="R30" s="78"/>
      <c r="S30" s="47"/>
      <c r="T30" s="47"/>
      <c r="U30" s="111"/>
      <c r="V30" s="47"/>
      <c r="W30" s="47"/>
      <c r="X30" s="147"/>
      <c r="Y30" s="78"/>
      <c r="Z30" s="47"/>
      <c r="AA30" s="47"/>
      <c r="AB30" s="47"/>
      <c r="AC30" s="47"/>
      <c r="AD30" s="78"/>
      <c r="AE30" s="90" t="str">
        <f>IF(C30&lt;&gt;"",HYPERLINK(CONCATENATE(SheetName01,"\",Knives[[#This Row],[Manufacturer]],IF(Knives[[#This Row],[Model]]&lt;&gt;""," "&amp;Knives[[#This Row],[Model]],),".jpg"),CONCATENATE(Knives[[#This Row],[Manufacturer]],IF(Knives[[#This Row],[Model]]&lt;&gt;""," "&amp;Knives[[#This Row],[Model]],),".jpg")),"")</f>
        <v/>
      </c>
      <c r="AG30" s="5" t="str">
        <f t="shared" si="1"/>
        <v/>
      </c>
    </row>
    <row r="31" spans="2:33" x14ac:dyDescent="0.25">
      <c r="B31" s="80" t="str">
        <f t="shared" si="0"/>
        <v/>
      </c>
      <c r="C31" s="78"/>
      <c r="D31" s="78"/>
      <c r="E31" s="78"/>
      <c r="F31" s="47"/>
      <c r="G31" s="47"/>
      <c r="H31" s="47"/>
      <c r="I31" s="47"/>
      <c r="J31" s="47"/>
      <c r="K31" s="44"/>
      <c r="L31" s="47"/>
      <c r="M31" s="47"/>
      <c r="N31" s="47"/>
      <c r="O31" s="47"/>
      <c r="P31" s="78"/>
      <c r="Q31" s="44"/>
      <c r="R31" s="78"/>
      <c r="S31" s="47"/>
      <c r="T31" s="47"/>
      <c r="U31" s="111"/>
      <c r="V31" s="47"/>
      <c r="W31" s="47"/>
      <c r="X31" s="147"/>
      <c r="Y31" s="78"/>
      <c r="Z31" s="47"/>
      <c r="AA31" s="47"/>
      <c r="AB31" s="47"/>
      <c r="AC31" s="47"/>
      <c r="AD31" s="78"/>
      <c r="AE31" s="90" t="str">
        <f>IF(C31&lt;&gt;"",HYPERLINK(CONCATENATE(SheetName01,"\",Knives[[#This Row],[Manufacturer]],IF(Knives[[#This Row],[Model]]&lt;&gt;""," "&amp;Knives[[#This Row],[Model]],),".jpg"),CONCATENATE(Knives[[#This Row],[Manufacturer]],IF(Knives[[#This Row],[Model]]&lt;&gt;""," "&amp;Knives[[#This Row],[Model]],),".jpg")),"")</f>
        <v/>
      </c>
      <c r="AG31" s="5" t="str">
        <f t="shared" si="1"/>
        <v/>
      </c>
    </row>
    <row r="32" spans="2:33" x14ac:dyDescent="0.25">
      <c r="B32" s="80" t="str">
        <f t="shared" si="0"/>
        <v/>
      </c>
      <c r="C32" s="78"/>
      <c r="D32" s="78"/>
      <c r="E32" s="78"/>
      <c r="F32" s="47"/>
      <c r="G32" s="47"/>
      <c r="H32" s="47"/>
      <c r="I32" s="47"/>
      <c r="J32" s="47"/>
      <c r="K32" s="44"/>
      <c r="L32" s="47"/>
      <c r="M32" s="47"/>
      <c r="N32" s="47"/>
      <c r="O32" s="47"/>
      <c r="P32" s="78"/>
      <c r="Q32" s="44"/>
      <c r="R32" s="78"/>
      <c r="S32" s="47"/>
      <c r="T32" s="47"/>
      <c r="U32" s="111"/>
      <c r="V32" s="47"/>
      <c r="W32" s="47"/>
      <c r="X32" s="147"/>
      <c r="Y32" s="78"/>
      <c r="Z32" s="47"/>
      <c r="AA32" s="47"/>
      <c r="AB32" s="47"/>
      <c r="AC32" s="47"/>
      <c r="AD32" s="78"/>
      <c r="AE32" s="90" t="str">
        <f>IF(C32&lt;&gt;"",HYPERLINK(CONCATENATE(SheetName01,"\",Knives[[#This Row],[Manufacturer]],IF(Knives[[#This Row],[Model]]&lt;&gt;""," "&amp;Knives[[#This Row],[Model]],),".jpg"),CONCATENATE(Knives[[#This Row],[Manufacturer]],IF(Knives[[#This Row],[Model]]&lt;&gt;""," "&amp;Knives[[#This Row],[Model]],),".jpg")),"")</f>
        <v/>
      </c>
      <c r="AG32" s="5" t="str">
        <f t="shared" si="1"/>
        <v/>
      </c>
    </row>
    <row r="33" spans="2:33" x14ac:dyDescent="0.25">
      <c r="B33" s="80" t="str">
        <f t="shared" si="0"/>
        <v/>
      </c>
      <c r="C33" s="78"/>
      <c r="D33" s="78"/>
      <c r="E33" s="78"/>
      <c r="F33" s="47"/>
      <c r="G33" s="47"/>
      <c r="H33" s="47"/>
      <c r="I33" s="47"/>
      <c r="J33" s="47"/>
      <c r="K33" s="44"/>
      <c r="L33" s="47"/>
      <c r="M33" s="47"/>
      <c r="N33" s="47"/>
      <c r="O33" s="47"/>
      <c r="P33" s="78"/>
      <c r="Q33" s="44"/>
      <c r="R33" s="78"/>
      <c r="S33" s="47"/>
      <c r="T33" s="47"/>
      <c r="U33" s="111"/>
      <c r="V33" s="47"/>
      <c r="W33" s="47"/>
      <c r="X33" s="147"/>
      <c r="Y33" s="78"/>
      <c r="Z33" s="47"/>
      <c r="AA33" s="47"/>
      <c r="AB33" s="47"/>
      <c r="AC33" s="47"/>
      <c r="AD33" s="78"/>
      <c r="AE33" s="90" t="str">
        <f>IF(C33&lt;&gt;"",HYPERLINK(CONCATENATE(SheetName01,"\",Knives[[#This Row],[Manufacturer]],IF(Knives[[#This Row],[Model]]&lt;&gt;""," "&amp;Knives[[#This Row],[Model]],),".jpg"),CONCATENATE(Knives[[#This Row],[Manufacturer]],IF(Knives[[#This Row],[Model]]&lt;&gt;""," "&amp;Knives[[#This Row],[Model]],),".jpg")),"")</f>
        <v/>
      </c>
      <c r="AG33" s="5" t="str">
        <f t="shared" si="1"/>
        <v/>
      </c>
    </row>
    <row r="34" spans="2:33" x14ac:dyDescent="0.25">
      <c r="B34" s="80" t="str">
        <f t="shared" si="0"/>
        <v/>
      </c>
      <c r="C34" s="78"/>
      <c r="D34" s="78"/>
      <c r="E34" s="78"/>
      <c r="F34" s="47"/>
      <c r="G34" s="47"/>
      <c r="H34" s="47"/>
      <c r="I34" s="47"/>
      <c r="J34" s="47"/>
      <c r="K34" s="44"/>
      <c r="L34" s="47"/>
      <c r="M34" s="47"/>
      <c r="N34" s="47"/>
      <c r="O34" s="47"/>
      <c r="P34" s="78"/>
      <c r="Q34" s="44"/>
      <c r="R34" s="78"/>
      <c r="S34" s="47"/>
      <c r="T34" s="47"/>
      <c r="U34" s="111"/>
      <c r="V34" s="47"/>
      <c r="W34" s="47"/>
      <c r="X34" s="147"/>
      <c r="Y34" s="78"/>
      <c r="Z34" s="47"/>
      <c r="AA34" s="47"/>
      <c r="AB34" s="47"/>
      <c r="AC34" s="47"/>
      <c r="AD34" s="78"/>
      <c r="AE34" s="90" t="str">
        <f>IF(C34&lt;&gt;"",HYPERLINK(CONCATENATE(SheetName01,"\",Knives[[#This Row],[Manufacturer]],IF(Knives[[#This Row],[Model]]&lt;&gt;""," "&amp;Knives[[#This Row],[Model]],),".jpg"),CONCATENATE(Knives[[#This Row],[Manufacturer]],IF(Knives[[#This Row],[Model]]&lt;&gt;""," "&amp;Knives[[#This Row],[Model]],),".jpg")),"")</f>
        <v/>
      </c>
      <c r="AG34" s="5" t="str">
        <f t="shared" si="1"/>
        <v/>
      </c>
    </row>
    <row r="35" spans="2:33" x14ac:dyDescent="0.25">
      <c r="B35" s="80" t="str">
        <f t="shared" si="0"/>
        <v/>
      </c>
      <c r="C35" s="78"/>
      <c r="D35" s="78"/>
      <c r="E35" s="78"/>
      <c r="F35" s="47"/>
      <c r="G35" s="47"/>
      <c r="H35" s="47"/>
      <c r="I35" s="47"/>
      <c r="J35" s="47"/>
      <c r="K35" s="44"/>
      <c r="L35" s="47"/>
      <c r="M35" s="47"/>
      <c r="N35" s="47"/>
      <c r="O35" s="47"/>
      <c r="P35" s="78"/>
      <c r="Q35" s="44"/>
      <c r="R35" s="78"/>
      <c r="S35" s="47"/>
      <c r="T35" s="47"/>
      <c r="U35" s="111"/>
      <c r="V35" s="47"/>
      <c r="W35" s="47"/>
      <c r="X35" s="147"/>
      <c r="Y35" s="78"/>
      <c r="Z35" s="47"/>
      <c r="AA35" s="47"/>
      <c r="AB35" s="47"/>
      <c r="AC35" s="47"/>
      <c r="AD35" s="78"/>
      <c r="AE35" s="90" t="str">
        <f>IF(C35&lt;&gt;"",HYPERLINK(CONCATENATE(SheetName01,"\",Knives[[#This Row],[Manufacturer]],IF(Knives[[#This Row],[Model]]&lt;&gt;""," "&amp;Knives[[#This Row],[Model]],),".jpg"),CONCATENATE(Knives[[#This Row],[Manufacturer]],IF(Knives[[#This Row],[Model]]&lt;&gt;""," "&amp;Knives[[#This Row],[Model]],),".jpg")),"")</f>
        <v/>
      </c>
      <c r="AG35" s="5" t="str">
        <f t="shared" si="1"/>
        <v/>
      </c>
    </row>
    <row r="36" spans="2:33" x14ac:dyDescent="0.25">
      <c r="B36" s="80" t="str">
        <f t="shared" si="0"/>
        <v/>
      </c>
      <c r="C36" s="78"/>
      <c r="D36" s="78"/>
      <c r="E36" s="78"/>
      <c r="F36" s="47"/>
      <c r="G36" s="47"/>
      <c r="H36" s="47"/>
      <c r="I36" s="47"/>
      <c r="J36" s="47"/>
      <c r="K36" s="44"/>
      <c r="L36" s="47"/>
      <c r="M36" s="47"/>
      <c r="N36" s="47"/>
      <c r="O36" s="47"/>
      <c r="P36" s="78"/>
      <c r="Q36" s="44"/>
      <c r="R36" s="78"/>
      <c r="S36" s="47"/>
      <c r="T36" s="47"/>
      <c r="U36" s="111"/>
      <c r="V36" s="47"/>
      <c r="W36" s="47"/>
      <c r="X36" s="147"/>
      <c r="Y36" s="78"/>
      <c r="Z36" s="47"/>
      <c r="AA36" s="47"/>
      <c r="AB36" s="47"/>
      <c r="AC36" s="47"/>
      <c r="AD36" s="78"/>
      <c r="AE36" s="90" t="str">
        <f>IF(C36&lt;&gt;"",HYPERLINK(CONCATENATE(SheetName01,"\",Knives[[#This Row],[Manufacturer]],IF(Knives[[#This Row],[Model]]&lt;&gt;""," "&amp;Knives[[#This Row],[Model]],),".jpg"),CONCATENATE(Knives[[#This Row],[Manufacturer]],IF(Knives[[#This Row],[Model]]&lt;&gt;""," "&amp;Knives[[#This Row],[Model]],),".jpg")),"")</f>
        <v/>
      </c>
      <c r="AG36" s="5" t="str">
        <f t="shared" si="1"/>
        <v/>
      </c>
    </row>
    <row r="37" spans="2:33" x14ac:dyDescent="0.25">
      <c r="B37" s="80" t="str">
        <f t="shared" si="0"/>
        <v/>
      </c>
      <c r="C37" s="78"/>
      <c r="D37" s="78"/>
      <c r="E37" s="78"/>
      <c r="F37" s="47"/>
      <c r="G37" s="47"/>
      <c r="H37" s="47"/>
      <c r="I37" s="47"/>
      <c r="J37" s="47"/>
      <c r="K37" s="44"/>
      <c r="L37" s="47"/>
      <c r="M37" s="47"/>
      <c r="N37" s="47"/>
      <c r="O37" s="47"/>
      <c r="P37" s="78"/>
      <c r="Q37" s="44"/>
      <c r="R37" s="78"/>
      <c r="S37" s="47"/>
      <c r="T37" s="47"/>
      <c r="U37" s="111"/>
      <c r="V37" s="47"/>
      <c r="W37" s="47"/>
      <c r="X37" s="147"/>
      <c r="Y37" s="78"/>
      <c r="Z37" s="47"/>
      <c r="AA37" s="47"/>
      <c r="AB37" s="47"/>
      <c r="AC37" s="47"/>
      <c r="AD37" s="78"/>
      <c r="AE37" s="90" t="str">
        <f>IF(C37&lt;&gt;"",HYPERLINK(CONCATENATE(SheetName01,"\",Knives[[#This Row],[Manufacturer]],IF(Knives[[#This Row],[Model]]&lt;&gt;""," "&amp;Knives[[#This Row],[Model]],),".jpg"),CONCATENATE(Knives[[#This Row],[Manufacturer]],IF(Knives[[#This Row],[Model]]&lt;&gt;""," "&amp;Knives[[#This Row],[Model]],),".jpg")),"")</f>
        <v/>
      </c>
      <c r="AG37" s="5" t="str">
        <f t="shared" si="1"/>
        <v/>
      </c>
    </row>
    <row r="38" spans="2:33" x14ac:dyDescent="0.25">
      <c r="B38" s="80" t="str">
        <f t="shared" si="0"/>
        <v/>
      </c>
      <c r="C38" s="78"/>
      <c r="D38" s="78"/>
      <c r="E38" s="78"/>
      <c r="F38" s="47"/>
      <c r="G38" s="47"/>
      <c r="H38" s="47"/>
      <c r="I38" s="47"/>
      <c r="J38" s="47"/>
      <c r="K38" s="44"/>
      <c r="L38" s="47"/>
      <c r="M38" s="47"/>
      <c r="N38" s="47"/>
      <c r="O38" s="47"/>
      <c r="P38" s="78"/>
      <c r="Q38" s="44"/>
      <c r="R38" s="78"/>
      <c r="S38" s="47"/>
      <c r="T38" s="47"/>
      <c r="U38" s="111"/>
      <c r="V38" s="47"/>
      <c r="W38" s="47"/>
      <c r="X38" s="147"/>
      <c r="Y38" s="78"/>
      <c r="Z38" s="47"/>
      <c r="AA38" s="47"/>
      <c r="AB38" s="47"/>
      <c r="AC38" s="47"/>
      <c r="AD38" s="78"/>
      <c r="AE38" s="90" t="str">
        <f>IF(C38&lt;&gt;"",HYPERLINK(CONCATENATE(SheetName01,"\",Knives[[#This Row],[Manufacturer]],IF(Knives[[#This Row],[Model]]&lt;&gt;""," "&amp;Knives[[#This Row],[Model]],),".jpg"),CONCATENATE(Knives[[#This Row],[Manufacturer]],IF(Knives[[#This Row],[Model]]&lt;&gt;""," "&amp;Knives[[#This Row],[Model]],),".jpg")),"")</f>
        <v/>
      </c>
      <c r="AG38" s="5" t="str">
        <f t="shared" si="1"/>
        <v/>
      </c>
    </row>
    <row r="39" spans="2:33" x14ac:dyDescent="0.25">
      <c r="B39" s="80" t="str">
        <f t="shared" si="0"/>
        <v/>
      </c>
      <c r="C39" s="78"/>
      <c r="D39" s="78"/>
      <c r="E39" s="78"/>
      <c r="F39" s="47"/>
      <c r="G39" s="47"/>
      <c r="H39" s="47"/>
      <c r="I39" s="47"/>
      <c r="J39" s="47"/>
      <c r="K39" s="44"/>
      <c r="L39" s="47"/>
      <c r="M39" s="47"/>
      <c r="N39" s="47"/>
      <c r="O39" s="47"/>
      <c r="P39" s="78"/>
      <c r="Q39" s="44"/>
      <c r="R39" s="78"/>
      <c r="S39" s="47"/>
      <c r="T39" s="47"/>
      <c r="U39" s="111"/>
      <c r="V39" s="47"/>
      <c r="W39" s="47"/>
      <c r="X39" s="147"/>
      <c r="Y39" s="78"/>
      <c r="Z39" s="47"/>
      <c r="AA39" s="47"/>
      <c r="AB39" s="47"/>
      <c r="AC39" s="47"/>
      <c r="AD39" s="78"/>
      <c r="AE39" s="90" t="str">
        <f>IF(C39&lt;&gt;"",HYPERLINK(CONCATENATE(SheetName01,"\",Knives[[#This Row],[Manufacturer]],IF(Knives[[#This Row],[Model]]&lt;&gt;""," "&amp;Knives[[#This Row],[Model]],),".jpg"),CONCATENATE(Knives[[#This Row],[Manufacturer]],IF(Knives[[#This Row],[Model]]&lt;&gt;""," "&amp;Knives[[#This Row],[Model]],),".jpg")),"")</f>
        <v/>
      </c>
      <c r="AG39" s="5" t="str">
        <f t="shared" si="1"/>
        <v/>
      </c>
    </row>
    <row r="40" spans="2:33" x14ac:dyDescent="0.25">
      <c r="B40" s="80" t="str">
        <f t="shared" si="0"/>
        <v/>
      </c>
      <c r="C40" s="78"/>
      <c r="D40" s="78"/>
      <c r="E40" s="78"/>
      <c r="F40" s="47"/>
      <c r="G40" s="47"/>
      <c r="H40" s="47"/>
      <c r="I40" s="47"/>
      <c r="J40" s="47"/>
      <c r="K40" s="44"/>
      <c r="L40" s="47"/>
      <c r="M40" s="47"/>
      <c r="N40" s="47"/>
      <c r="O40" s="47"/>
      <c r="P40" s="78"/>
      <c r="Q40" s="44"/>
      <c r="R40" s="78"/>
      <c r="S40" s="47"/>
      <c r="T40" s="47"/>
      <c r="U40" s="111"/>
      <c r="V40" s="47"/>
      <c r="W40" s="47"/>
      <c r="X40" s="147"/>
      <c r="Y40" s="78"/>
      <c r="Z40" s="47"/>
      <c r="AA40" s="47"/>
      <c r="AB40" s="47"/>
      <c r="AC40" s="47"/>
      <c r="AD40" s="78"/>
      <c r="AE40" s="90" t="str">
        <f>IF(C40&lt;&gt;"",HYPERLINK(CONCATENATE(SheetName01,"\",Knives[[#This Row],[Manufacturer]],IF(Knives[[#This Row],[Model]]&lt;&gt;""," "&amp;Knives[[#This Row],[Model]],),".jpg"),CONCATENATE(Knives[[#This Row],[Manufacturer]],IF(Knives[[#This Row],[Model]]&lt;&gt;""," "&amp;Knives[[#This Row],[Model]],),".jpg")),"")</f>
        <v/>
      </c>
      <c r="AG40" s="5" t="str">
        <f t="shared" si="1"/>
        <v/>
      </c>
    </row>
    <row r="41" spans="2:33" x14ac:dyDescent="0.25">
      <c r="B41" s="80" t="str">
        <f t="shared" si="0"/>
        <v/>
      </c>
      <c r="C41" s="78"/>
      <c r="D41" s="78"/>
      <c r="E41" s="78"/>
      <c r="F41" s="47"/>
      <c r="G41" s="47"/>
      <c r="H41" s="47"/>
      <c r="I41" s="47"/>
      <c r="J41" s="47"/>
      <c r="K41" s="44"/>
      <c r="L41" s="47"/>
      <c r="M41" s="47"/>
      <c r="N41" s="47"/>
      <c r="O41" s="47"/>
      <c r="P41" s="78"/>
      <c r="Q41" s="44"/>
      <c r="R41" s="78"/>
      <c r="S41" s="47"/>
      <c r="T41" s="47"/>
      <c r="U41" s="111"/>
      <c r="V41" s="47"/>
      <c r="W41" s="47"/>
      <c r="X41" s="147"/>
      <c r="Y41" s="78"/>
      <c r="Z41" s="47"/>
      <c r="AA41" s="47"/>
      <c r="AB41" s="47"/>
      <c r="AC41" s="47"/>
      <c r="AD41" s="78"/>
      <c r="AE41" s="90" t="str">
        <f>IF(C41&lt;&gt;"",HYPERLINK(CONCATENATE(SheetName01,"\",Knives[[#This Row],[Manufacturer]],IF(Knives[[#This Row],[Model]]&lt;&gt;""," "&amp;Knives[[#This Row],[Model]],),".jpg"),CONCATENATE(Knives[[#This Row],[Manufacturer]],IF(Knives[[#This Row],[Model]]&lt;&gt;""," "&amp;Knives[[#This Row],[Model]],),".jpg")),"")</f>
        <v/>
      </c>
      <c r="AG41" s="5" t="str">
        <f t="shared" si="1"/>
        <v/>
      </c>
    </row>
    <row r="42" spans="2:33" x14ac:dyDescent="0.25">
      <c r="B42" s="80" t="str">
        <f t="shared" si="0"/>
        <v/>
      </c>
      <c r="C42" s="78"/>
      <c r="D42" s="78"/>
      <c r="E42" s="78"/>
      <c r="F42" s="47"/>
      <c r="G42" s="47"/>
      <c r="H42" s="47"/>
      <c r="I42" s="47"/>
      <c r="J42" s="47"/>
      <c r="K42" s="44"/>
      <c r="L42" s="47"/>
      <c r="M42" s="47"/>
      <c r="N42" s="47"/>
      <c r="O42" s="47"/>
      <c r="P42" s="78"/>
      <c r="Q42" s="44"/>
      <c r="R42" s="78"/>
      <c r="S42" s="47"/>
      <c r="T42" s="47"/>
      <c r="U42" s="111"/>
      <c r="V42" s="47"/>
      <c r="W42" s="47"/>
      <c r="X42" s="147"/>
      <c r="Y42" s="78"/>
      <c r="Z42" s="47"/>
      <c r="AA42" s="47"/>
      <c r="AB42" s="47"/>
      <c r="AC42" s="47"/>
      <c r="AD42" s="78"/>
      <c r="AE42" s="90" t="str">
        <f>IF(C42&lt;&gt;"",HYPERLINK(CONCATENATE(SheetName01,"\",Knives[[#This Row],[Manufacturer]],IF(Knives[[#This Row],[Model]]&lt;&gt;""," "&amp;Knives[[#This Row],[Model]],),".jpg"),CONCATENATE(Knives[[#This Row],[Manufacturer]],IF(Knives[[#This Row],[Model]]&lt;&gt;""," "&amp;Knives[[#This Row],[Model]],),".jpg")),"")</f>
        <v/>
      </c>
      <c r="AG42" s="5" t="str">
        <f t="shared" si="1"/>
        <v/>
      </c>
    </row>
    <row r="43" spans="2:33" x14ac:dyDescent="0.25">
      <c r="B43" s="80" t="str">
        <f t="shared" si="0"/>
        <v/>
      </c>
      <c r="C43" s="78"/>
      <c r="D43" s="78"/>
      <c r="E43" s="78"/>
      <c r="F43" s="47"/>
      <c r="G43" s="47"/>
      <c r="H43" s="47"/>
      <c r="I43" s="47"/>
      <c r="J43" s="47"/>
      <c r="K43" s="44"/>
      <c r="L43" s="47"/>
      <c r="M43" s="47"/>
      <c r="N43" s="47"/>
      <c r="O43" s="47"/>
      <c r="P43" s="78"/>
      <c r="Q43" s="44"/>
      <c r="R43" s="78"/>
      <c r="S43" s="47"/>
      <c r="T43" s="47"/>
      <c r="U43" s="111"/>
      <c r="V43" s="47"/>
      <c r="W43" s="47"/>
      <c r="X43" s="147"/>
      <c r="Y43" s="78"/>
      <c r="Z43" s="47"/>
      <c r="AA43" s="47"/>
      <c r="AB43" s="47"/>
      <c r="AC43" s="47"/>
      <c r="AD43" s="78"/>
      <c r="AE43" s="90" t="str">
        <f>IF(C43&lt;&gt;"",HYPERLINK(CONCATENATE(SheetName01,"\",Knives[[#This Row],[Manufacturer]],IF(Knives[[#This Row],[Model]]&lt;&gt;""," "&amp;Knives[[#This Row],[Model]],),".jpg"),CONCATENATE(Knives[[#This Row],[Manufacturer]],IF(Knives[[#This Row],[Model]]&lt;&gt;""," "&amp;Knives[[#This Row],[Model]],),".jpg")),"")</f>
        <v/>
      </c>
      <c r="AG43" s="5" t="str">
        <f t="shared" si="1"/>
        <v/>
      </c>
    </row>
    <row r="44" spans="2:33" x14ac:dyDescent="0.25">
      <c r="B44" s="80" t="str">
        <f t="shared" si="0"/>
        <v/>
      </c>
      <c r="C44" s="78"/>
      <c r="D44" s="78"/>
      <c r="E44" s="78"/>
      <c r="F44" s="47"/>
      <c r="G44" s="47"/>
      <c r="H44" s="47"/>
      <c r="I44" s="47"/>
      <c r="J44" s="47"/>
      <c r="K44" s="44"/>
      <c r="L44" s="47"/>
      <c r="M44" s="47"/>
      <c r="N44" s="47"/>
      <c r="O44" s="47"/>
      <c r="P44" s="78"/>
      <c r="Q44" s="44"/>
      <c r="R44" s="78"/>
      <c r="S44" s="47"/>
      <c r="T44" s="47"/>
      <c r="U44" s="111"/>
      <c r="V44" s="47"/>
      <c r="W44" s="47"/>
      <c r="X44" s="147"/>
      <c r="Y44" s="78"/>
      <c r="Z44" s="47"/>
      <c r="AA44" s="47"/>
      <c r="AB44" s="47"/>
      <c r="AC44" s="47"/>
      <c r="AD44" s="78"/>
      <c r="AE44" s="90" t="str">
        <f>IF(C44&lt;&gt;"",HYPERLINK(CONCATENATE(SheetName01,"\",Knives[[#This Row],[Manufacturer]],IF(Knives[[#This Row],[Model]]&lt;&gt;""," "&amp;Knives[[#This Row],[Model]],),".jpg"),CONCATENATE(Knives[[#This Row],[Manufacturer]],IF(Knives[[#This Row],[Model]]&lt;&gt;""," "&amp;Knives[[#This Row],[Model]],),".jpg")),"")</f>
        <v/>
      </c>
      <c r="AG44" s="5" t="str">
        <f t="shared" si="1"/>
        <v/>
      </c>
    </row>
    <row r="45" spans="2:33" x14ac:dyDescent="0.25">
      <c r="B45" s="80" t="str">
        <f t="shared" si="0"/>
        <v/>
      </c>
      <c r="C45" s="78"/>
      <c r="D45" s="78"/>
      <c r="E45" s="78"/>
      <c r="F45" s="47"/>
      <c r="G45" s="47"/>
      <c r="H45" s="47"/>
      <c r="I45" s="47"/>
      <c r="J45" s="47"/>
      <c r="K45" s="44"/>
      <c r="L45" s="47"/>
      <c r="M45" s="47"/>
      <c r="N45" s="47"/>
      <c r="O45" s="47"/>
      <c r="P45" s="78"/>
      <c r="Q45" s="44"/>
      <c r="R45" s="78"/>
      <c r="S45" s="47"/>
      <c r="T45" s="47"/>
      <c r="U45" s="111"/>
      <c r="V45" s="47"/>
      <c r="W45" s="47"/>
      <c r="X45" s="147"/>
      <c r="Y45" s="78"/>
      <c r="Z45" s="47"/>
      <c r="AA45" s="47"/>
      <c r="AB45" s="47"/>
      <c r="AC45" s="47"/>
      <c r="AD45" s="78"/>
      <c r="AE45" s="90" t="str">
        <f>IF(C45&lt;&gt;"",HYPERLINK(CONCATENATE(SheetName01,"\",Knives[[#This Row],[Manufacturer]],IF(Knives[[#This Row],[Model]]&lt;&gt;""," "&amp;Knives[[#This Row],[Model]],),".jpg"),CONCATENATE(Knives[[#This Row],[Manufacturer]],IF(Knives[[#This Row],[Model]]&lt;&gt;""," "&amp;Knives[[#This Row],[Model]],),".jpg")),"")</f>
        <v/>
      </c>
      <c r="AG45" s="5" t="str">
        <f t="shared" si="1"/>
        <v/>
      </c>
    </row>
    <row r="46" spans="2:33" x14ac:dyDescent="0.25">
      <c r="B46" s="80" t="str">
        <f t="shared" si="0"/>
        <v/>
      </c>
      <c r="C46" s="78"/>
      <c r="D46" s="78"/>
      <c r="E46" s="78"/>
      <c r="F46" s="47"/>
      <c r="G46" s="47"/>
      <c r="H46" s="47"/>
      <c r="I46" s="47"/>
      <c r="J46" s="47"/>
      <c r="K46" s="44"/>
      <c r="L46" s="47"/>
      <c r="M46" s="47"/>
      <c r="N46" s="47"/>
      <c r="O46" s="47"/>
      <c r="P46" s="78"/>
      <c r="Q46" s="44"/>
      <c r="R46" s="78"/>
      <c r="S46" s="47"/>
      <c r="T46" s="47"/>
      <c r="U46" s="111"/>
      <c r="V46" s="47"/>
      <c r="W46" s="47"/>
      <c r="X46" s="147"/>
      <c r="Y46" s="78"/>
      <c r="Z46" s="47"/>
      <c r="AA46" s="47"/>
      <c r="AB46" s="47"/>
      <c r="AC46" s="47"/>
      <c r="AD46" s="78"/>
      <c r="AE46" s="90" t="str">
        <f>IF(C46&lt;&gt;"",HYPERLINK(CONCATENATE(SheetName01,"\",Knives[[#This Row],[Manufacturer]],IF(Knives[[#This Row],[Model]]&lt;&gt;""," "&amp;Knives[[#This Row],[Model]],),".jpg"),CONCATENATE(Knives[[#This Row],[Manufacturer]],IF(Knives[[#This Row],[Model]]&lt;&gt;""," "&amp;Knives[[#This Row],[Model]],),".jpg")),"")</f>
        <v/>
      </c>
      <c r="AG46" s="5" t="str">
        <f t="shared" si="1"/>
        <v/>
      </c>
    </row>
    <row r="47" spans="2:33" x14ac:dyDescent="0.25">
      <c r="B47" s="80" t="str">
        <f t="shared" si="0"/>
        <v/>
      </c>
      <c r="C47" s="78"/>
      <c r="D47" s="78"/>
      <c r="E47" s="78"/>
      <c r="F47" s="47"/>
      <c r="G47" s="47"/>
      <c r="H47" s="47"/>
      <c r="I47" s="47"/>
      <c r="J47" s="47"/>
      <c r="K47" s="44"/>
      <c r="L47" s="47"/>
      <c r="M47" s="47"/>
      <c r="N47" s="47"/>
      <c r="O47" s="47"/>
      <c r="P47" s="78"/>
      <c r="Q47" s="44"/>
      <c r="R47" s="78"/>
      <c r="S47" s="47"/>
      <c r="T47" s="47"/>
      <c r="U47" s="111"/>
      <c r="V47" s="47"/>
      <c r="W47" s="47"/>
      <c r="X47" s="147"/>
      <c r="Y47" s="78"/>
      <c r="Z47" s="47"/>
      <c r="AA47" s="47"/>
      <c r="AB47" s="47"/>
      <c r="AC47" s="47"/>
      <c r="AD47" s="78"/>
      <c r="AE47" s="90" t="str">
        <f>IF(C47&lt;&gt;"",HYPERLINK(CONCATENATE(SheetName01,"\",Knives[[#This Row],[Manufacturer]],IF(Knives[[#This Row],[Model]]&lt;&gt;""," "&amp;Knives[[#This Row],[Model]],),".jpg"),CONCATENATE(Knives[[#This Row],[Manufacturer]],IF(Knives[[#This Row],[Model]]&lt;&gt;""," "&amp;Knives[[#This Row],[Model]],),".jpg")),"")</f>
        <v/>
      </c>
      <c r="AG47" s="5" t="str">
        <f t="shared" si="1"/>
        <v/>
      </c>
    </row>
    <row r="48" spans="2:33" x14ac:dyDescent="0.25">
      <c r="B48" s="80" t="str">
        <f t="shared" si="0"/>
        <v/>
      </c>
      <c r="C48" s="78"/>
      <c r="D48" s="78"/>
      <c r="E48" s="78"/>
      <c r="F48" s="47"/>
      <c r="G48" s="47"/>
      <c r="H48" s="47"/>
      <c r="I48" s="47"/>
      <c r="J48" s="47"/>
      <c r="K48" s="44"/>
      <c r="L48" s="47"/>
      <c r="M48" s="47"/>
      <c r="N48" s="47"/>
      <c r="O48" s="47"/>
      <c r="P48" s="78"/>
      <c r="Q48" s="44"/>
      <c r="R48" s="78"/>
      <c r="S48" s="47"/>
      <c r="T48" s="47"/>
      <c r="U48" s="111"/>
      <c r="V48" s="47"/>
      <c r="W48" s="47"/>
      <c r="X48" s="147"/>
      <c r="Y48" s="78"/>
      <c r="Z48" s="47"/>
      <c r="AA48" s="47"/>
      <c r="AB48" s="47"/>
      <c r="AC48" s="47"/>
      <c r="AD48" s="78"/>
      <c r="AE48" s="90" t="str">
        <f>IF(C48&lt;&gt;"",HYPERLINK(CONCATENATE(SheetName01,"\",Knives[[#This Row],[Manufacturer]],IF(Knives[[#This Row],[Model]]&lt;&gt;""," "&amp;Knives[[#This Row],[Model]],),".jpg"),CONCATENATE(Knives[[#This Row],[Manufacturer]],IF(Knives[[#This Row],[Model]]&lt;&gt;""," "&amp;Knives[[#This Row],[Model]],),".jpg")),"")</f>
        <v/>
      </c>
      <c r="AG48" s="5" t="str">
        <f t="shared" si="1"/>
        <v/>
      </c>
    </row>
    <row r="49" spans="2:33" x14ac:dyDescent="0.25">
      <c r="B49" s="80" t="str">
        <f t="shared" si="0"/>
        <v/>
      </c>
      <c r="C49" s="78"/>
      <c r="D49" s="78"/>
      <c r="E49" s="78"/>
      <c r="F49" s="47"/>
      <c r="G49" s="47"/>
      <c r="H49" s="47"/>
      <c r="I49" s="47"/>
      <c r="J49" s="47"/>
      <c r="K49" s="44"/>
      <c r="L49" s="47"/>
      <c r="M49" s="47"/>
      <c r="N49" s="47"/>
      <c r="O49" s="47"/>
      <c r="P49" s="78"/>
      <c r="Q49" s="44"/>
      <c r="R49" s="78"/>
      <c r="S49" s="47"/>
      <c r="T49" s="47"/>
      <c r="U49" s="111"/>
      <c r="V49" s="47"/>
      <c r="W49" s="47"/>
      <c r="X49" s="147"/>
      <c r="Y49" s="78"/>
      <c r="Z49" s="47"/>
      <c r="AA49" s="47"/>
      <c r="AB49" s="47"/>
      <c r="AC49" s="47"/>
      <c r="AD49" s="78"/>
      <c r="AE49" s="90" t="str">
        <f>IF(C49&lt;&gt;"",HYPERLINK(CONCATENATE(SheetName01,"\",Knives[[#This Row],[Manufacturer]],IF(Knives[[#This Row],[Model]]&lt;&gt;""," "&amp;Knives[[#This Row],[Model]],),".jpg"),CONCATENATE(Knives[[#This Row],[Manufacturer]],IF(Knives[[#This Row],[Model]]&lt;&gt;""," "&amp;Knives[[#This Row],[Model]],),".jpg")),"")</f>
        <v/>
      </c>
      <c r="AG49" s="5" t="str">
        <f t="shared" si="1"/>
        <v/>
      </c>
    </row>
    <row r="50" spans="2:33" x14ac:dyDescent="0.25">
      <c r="B50" s="80" t="str">
        <f t="shared" si="0"/>
        <v/>
      </c>
      <c r="C50" s="78"/>
      <c r="D50" s="78"/>
      <c r="E50" s="78"/>
      <c r="F50" s="47"/>
      <c r="G50" s="47"/>
      <c r="H50" s="47"/>
      <c r="I50" s="47"/>
      <c r="J50" s="47"/>
      <c r="K50" s="44"/>
      <c r="L50" s="47"/>
      <c r="M50" s="47"/>
      <c r="N50" s="47"/>
      <c r="O50" s="47"/>
      <c r="P50" s="78"/>
      <c r="Q50" s="44"/>
      <c r="R50" s="78"/>
      <c r="S50" s="47"/>
      <c r="T50" s="47"/>
      <c r="U50" s="111"/>
      <c r="V50" s="47"/>
      <c r="W50" s="47"/>
      <c r="X50" s="147"/>
      <c r="Y50" s="78"/>
      <c r="Z50" s="47"/>
      <c r="AA50" s="47"/>
      <c r="AB50" s="47"/>
      <c r="AC50" s="47"/>
      <c r="AD50" s="78"/>
      <c r="AE50" s="90" t="str">
        <f>IF(C50&lt;&gt;"",HYPERLINK(CONCATENATE(SheetName01,"\",Knives[[#This Row],[Manufacturer]],IF(Knives[[#This Row],[Model]]&lt;&gt;""," "&amp;Knives[[#This Row],[Model]],),".jpg"),CONCATENATE(Knives[[#This Row],[Manufacturer]],IF(Knives[[#This Row],[Model]]&lt;&gt;""," "&amp;Knives[[#This Row],[Model]],),".jpg")),"")</f>
        <v/>
      </c>
      <c r="AG50" s="5" t="str">
        <f t="shared" si="1"/>
        <v/>
      </c>
    </row>
    <row r="51" spans="2:33" x14ac:dyDescent="0.25">
      <c r="B51" s="80" t="str">
        <f t="shared" si="0"/>
        <v/>
      </c>
      <c r="C51" s="78"/>
      <c r="D51" s="78"/>
      <c r="E51" s="78"/>
      <c r="F51" s="47"/>
      <c r="G51" s="47"/>
      <c r="H51" s="47"/>
      <c r="I51" s="47"/>
      <c r="J51" s="47"/>
      <c r="K51" s="44"/>
      <c r="L51" s="47"/>
      <c r="M51" s="47"/>
      <c r="N51" s="47"/>
      <c r="O51" s="47"/>
      <c r="P51" s="78"/>
      <c r="Q51" s="44"/>
      <c r="R51" s="78"/>
      <c r="S51" s="47"/>
      <c r="T51" s="47"/>
      <c r="U51" s="111"/>
      <c r="V51" s="47"/>
      <c r="W51" s="47"/>
      <c r="X51" s="147"/>
      <c r="Y51" s="78"/>
      <c r="Z51" s="47"/>
      <c r="AA51" s="47"/>
      <c r="AB51" s="47"/>
      <c r="AC51" s="47"/>
      <c r="AD51" s="78"/>
      <c r="AE51" s="90" t="str">
        <f>IF(C51&lt;&gt;"",HYPERLINK(CONCATENATE(SheetName01,"\",Knives[[#This Row],[Manufacturer]],IF(Knives[[#This Row],[Model]]&lt;&gt;""," "&amp;Knives[[#This Row],[Model]],),".jpg"),CONCATENATE(Knives[[#This Row],[Manufacturer]],IF(Knives[[#This Row],[Model]]&lt;&gt;""," "&amp;Knives[[#This Row],[Model]],),".jpg")),"")</f>
        <v/>
      </c>
      <c r="AG51" s="5" t="str">
        <f t="shared" si="1"/>
        <v/>
      </c>
    </row>
    <row r="52" spans="2:33" x14ac:dyDescent="0.25">
      <c r="B52" s="80" t="str">
        <f t="shared" si="0"/>
        <v/>
      </c>
      <c r="C52" s="78"/>
      <c r="D52" s="78"/>
      <c r="E52" s="78"/>
      <c r="F52" s="47"/>
      <c r="G52" s="47"/>
      <c r="H52" s="47"/>
      <c r="I52" s="47"/>
      <c r="J52" s="47"/>
      <c r="K52" s="44"/>
      <c r="L52" s="47"/>
      <c r="M52" s="47"/>
      <c r="N52" s="47"/>
      <c r="O52" s="47"/>
      <c r="P52" s="78"/>
      <c r="Q52" s="44"/>
      <c r="R52" s="78"/>
      <c r="S52" s="47"/>
      <c r="T52" s="47"/>
      <c r="U52" s="111"/>
      <c r="V52" s="47"/>
      <c r="W52" s="47"/>
      <c r="X52" s="147"/>
      <c r="Y52" s="78"/>
      <c r="Z52" s="47"/>
      <c r="AA52" s="47"/>
      <c r="AB52" s="47"/>
      <c r="AC52" s="47"/>
      <c r="AD52" s="78"/>
      <c r="AE52" s="90" t="str">
        <f>IF(C52&lt;&gt;"",HYPERLINK(CONCATENATE(SheetName01,"\",Knives[[#This Row],[Manufacturer]],IF(Knives[[#This Row],[Model]]&lt;&gt;""," "&amp;Knives[[#This Row],[Model]],),".jpg"),CONCATENATE(Knives[[#This Row],[Manufacturer]],IF(Knives[[#This Row],[Model]]&lt;&gt;""," "&amp;Knives[[#This Row],[Model]],),".jpg")),"")</f>
        <v/>
      </c>
      <c r="AG52" s="5" t="str">
        <f t="shared" si="1"/>
        <v/>
      </c>
    </row>
    <row r="53" spans="2:33" x14ac:dyDescent="0.25">
      <c r="B53" s="80" t="str">
        <f t="shared" si="0"/>
        <v/>
      </c>
      <c r="C53" s="78"/>
      <c r="D53" s="78"/>
      <c r="E53" s="78"/>
      <c r="F53" s="47"/>
      <c r="G53" s="47"/>
      <c r="H53" s="47"/>
      <c r="I53" s="47"/>
      <c r="J53" s="47"/>
      <c r="K53" s="44"/>
      <c r="L53" s="47"/>
      <c r="M53" s="47"/>
      <c r="N53" s="47"/>
      <c r="O53" s="47"/>
      <c r="P53" s="78"/>
      <c r="Q53" s="44"/>
      <c r="R53" s="78"/>
      <c r="S53" s="47"/>
      <c r="T53" s="47"/>
      <c r="U53" s="111"/>
      <c r="V53" s="47"/>
      <c r="W53" s="47"/>
      <c r="X53" s="147"/>
      <c r="Y53" s="78"/>
      <c r="Z53" s="47"/>
      <c r="AA53" s="47"/>
      <c r="AB53" s="47"/>
      <c r="AC53" s="47"/>
      <c r="AD53" s="78"/>
      <c r="AE53" s="90" t="str">
        <f>IF(C53&lt;&gt;"",HYPERLINK(CONCATENATE(SheetName01,"\",Knives[[#This Row],[Manufacturer]],IF(Knives[[#This Row],[Model]]&lt;&gt;""," "&amp;Knives[[#This Row],[Model]],),".jpg"),CONCATENATE(Knives[[#This Row],[Manufacturer]],IF(Knives[[#This Row],[Model]]&lt;&gt;""," "&amp;Knives[[#This Row],[Model]],),".jpg")),"")</f>
        <v/>
      </c>
      <c r="AG53" s="5" t="str">
        <f t="shared" si="1"/>
        <v/>
      </c>
    </row>
    <row r="54" spans="2:33" x14ac:dyDescent="0.25">
      <c r="B54" s="80" t="str">
        <f t="shared" si="0"/>
        <v/>
      </c>
      <c r="C54" s="78"/>
      <c r="D54" s="78"/>
      <c r="E54" s="78"/>
      <c r="F54" s="47"/>
      <c r="G54" s="47"/>
      <c r="H54" s="47"/>
      <c r="I54" s="47"/>
      <c r="J54" s="47"/>
      <c r="K54" s="44"/>
      <c r="L54" s="47"/>
      <c r="M54" s="47"/>
      <c r="N54" s="47"/>
      <c r="O54" s="47"/>
      <c r="P54" s="78"/>
      <c r="Q54" s="44"/>
      <c r="R54" s="78"/>
      <c r="S54" s="47"/>
      <c r="T54" s="47"/>
      <c r="U54" s="111"/>
      <c r="V54" s="47"/>
      <c r="W54" s="47"/>
      <c r="X54" s="147"/>
      <c r="Y54" s="78"/>
      <c r="Z54" s="47"/>
      <c r="AA54" s="47"/>
      <c r="AB54" s="47"/>
      <c r="AC54" s="47"/>
      <c r="AD54" s="78"/>
      <c r="AE54" s="90" t="str">
        <f>IF(C54&lt;&gt;"",HYPERLINK(CONCATENATE(SheetName01,"\",Knives[[#This Row],[Manufacturer]],IF(Knives[[#This Row],[Model]]&lt;&gt;""," "&amp;Knives[[#This Row],[Model]],),".jpg"),CONCATENATE(Knives[[#This Row],[Manufacturer]],IF(Knives[[#This Row],[Model]]&lt;&gt;""," "&amp;Knives[[#This Row],[Model]],),".jpg")),"")</f>
        <v/>
      </c>
      <c r="AG54" s="5" t="str">
        <f t="shared" si="1"/>
        <v/>
      </c>
    </row>
    <row r="55" spans="2:33" x14ac:dyDescent="0.25">
      <c r="B55" s="80" t="str">
        <f t="shared" si="0"/>
        <v/>
      </c>
      <c r="C55" s="78"/>
      <c r="D55" s="78"/>
      <c r="E55" s="78"/>
      <c r="F55" s="47"/>
      <c r="G55" s="47"/>
      <c r="H55" s="47"/>
      <c r="I55" s="47"/>
      <c r="J55" s="47"/>
      <c r="K55" s="44"/>
      <c r="L55" s="47"/>
      <c r="M55" s="47"/>
      <c r="N55" s="47"/>
      <c r="O55" s="47"/>
      <c r="P55" s="78"/>
      <c r="Q55" s="44"/>
      <c r="R55" s="78"/>
      <c r="S55" s="47"/>
      <c r="T55" s="47"/>
      <c r="U55" s="111"/>
      <c r="V55" s="47"/>
      <c r="W55" s="47"/>
      <c r="X55" s="147"/>
      <c r="Y55" s="78"/>
      <c r="Z55" s="47"/>
      <c r="AA55" s="47"/>
      <c r="AB55" s="47"/>
      <c r="AC55" s="47"/>
      <c r="AD55" s="78"/>
      <c r="AE55" s="90" t="str">
        <f>IF(C55&lt;&gt;"",HYPERLINK(CONCATENATE(SheetName01,"\",Knives[[#This Row],[Manufacturer]],IF(Knives[[#This Row],[Model]]&lt;&gt;""," "&amp;Knives[[#This Row],[Model]],),".jpg"),CONCATENATE(Knives[[#This Row],[Manufacturer]],IF(Knives[[#This Row],[Model]]&lt;&gt;""," "&amp;Knives[[#This Row],[Model]],),".jpg")),"")</f>
        <v/>
      </c>
      <c r="AG55" s="5" t="str">
        <f t="shared" si="1"/>
        <v/>
      </c>
    </row>
    <row r="56" spans="2:33" x14ac:dyDescent="0.25">
      <c r="B56" s="80" t="str">
        <f t="shared" si="0"/>
        <v/>
      </c>
      <c r="C56" s="78"/>
      <c r="D56" s="78"/>
      <c r="E56" s="78"/>
      <c r="F56" s="47"/>
      <c r="G56" s="47"/>
      <c r="H56" s="47"/>
      <c r="I56" s="47"/>
      <c r="J56" s="47"/>
      <c r="K56" s="44"/>
      <c r="L56" s="47"/>
      <c r="M56" s="47"/>
      <c r="N56" s="47"/>
      <c r="O56" s="47"/>
      <c r="P56" s="78"/>
      <c r="Q56" s="44"/>
      <c r="R56" s="78"/>
      <c r="S56" s="47"/>
      <c r="T56" s="47"/>
      <c r="U56" s="111"/>
      <c r="V56" s="47"/>
      <c r="W56" s="47"/>
      <c r="X56" s="147"/>
      <c r="Y56" s="78"/>
      <c r="Z56" s="47"/>
      <c r="AA56" s="47"/>
      <c r="AB56" s="47"/>
      <c r="AC56" s="47"/>
      <c r="AD56" s="78"/>
      <c r="AE56" s="90" t="str">
        <f>IF(C56&lt;&gt;"",HYPERLINK(CONCATENATE(SheetName01,"\",Knives[[#This Row],[Manufacturer]],IF(Knives[[#This Row],[Model]]&lt;&gt;""," "&amp;Knives[[#This Row],[Model]],),".jpg"),CONCATENATE(Knives[[#This Row],[Manufacturer]],IF(Knives[[#This Row],[Model]]&lt;&gt;""," "&amp;Knives[[#This Row],[Model]],),".jpg")),"")</f>
        <v/>
      </c>
      <c r="AG56" s="5" t="str">
        <f t="shared" si="1"/>
        <v/>
      </c>
    </row>
    <row r="57" spans="2:33" x14ac:dyDescent="0.25">
      <c r="B57" s="80" t="str">
        <f t="shared" si="0"/>
        <v/>
      </c>
      <c r="C57" s="78"/>
      <c r="D57" s="78"/>
      <c r="E57" s="78"/>
      <c r="F57" s="47"/>
      <c r="G57" s="47"/>
      <c r="H57" s="47"/>
      <c r="I57" s="47"/>
      <c r="J57" s="47"/>
      <c r="K57" s="44"/>
      <c r="L57" s="47"/>
      <c r="M57" s="47"/>
      <c r="N57" s="47"/>
      <c r="O57" s="47"/>
      <c r="P57" s="78"/>
      <c r="Q57" s="44"/>
      <c r="R57" s="78"/>
      <c r="S57" s="47"/>
      <c r="T57" s="47"/>
      <c r="U57" s="111"/>
      <c r="V57" s="47"/>
      <c r="W57" s="47"/>
      <c r="X57" s="147"/>
      <c r="Y57" s="78"/>
      <c r="Z57" s="47"/>
      <c r="AA57" s="47"/>
      <c r="AB57" s="47"/>
      <c r="AC57" s="47"/>
      <c r="AD57" s="78"/>
      <c r="AE57" s="90" t="str">
        <f>IF(C57&lt;&gt;"",HYPERLINK(CONCATENATE(SheetName01,"\",Knives[[#This Row],[Manufacturer]],IF(Knives[[#This Row],[Model]]&lt;&gt;""," "&amp;Knives[[#This Row],[Model]],),".jpg"),CONCATENATE(Knives[[#This Row],[Manufacturer]],IF(Knives[[#This Row],[Model]]&lt;&gt;""," "&amp;Knives[[#This Row],[Model]],),".jpg")),"")</f>
        <v/>
      </c>
      <c r="AG57" s="5" t="str">
        <f t="shared" si="1"/>
        <v/>
      </c>
    </row>
    <row r="58" spans="2:33" x14ac:dyDescent="0.25">
      <c r="B58" s="80" t="str">
        <f t="shared" si="0"/>
        <v/>
      </c>
      <c r="C58" s="78"/>
      <c r="D58" s="78"/>
      <c r="E58" s="78"/>
      <c r="F58" s="47"/>
      <c r="G58" s="47"/>
      <c r="H58" s="47"/>
      <c r="I58" s="47"/>
      <c r="J58" s="47"/>
      <c r="K58" s="44"/>
      <c r="L58" s="47"/>
      <c r="M58" s="47"/>
      <c r="N58" s="47"/>
      <c r="O58" s="47"/>
      <c r="P58" s="78"/>
      <c r="Q58" s="44"/>
      <c r="R58" s="78"/>
      <c r="S58" s="47"/>
      <c r="T58" s="47"/>
      <c r="U58" s="111"/>
      <c r="V58" s="47"/>
      <c r="W58" s="47"/>
      <c r="X58" s="147"/>
      <c r="Y58" s="78"/>
      <c r="Z58" s="47"/>
      <c r="AA58" s="47"/>
      <c r="AB58" s="47"/>
      <c r="AC58" s="47"/>
      <c r="AD58" s="78"/>
      <c r="AE58" s="90" t="str">
        <f>IF(C58&lt;&gt;"",HYPERLINK(CONCATENATE(SheetName01,"\",Knives[[#This Row],[Manufacturer]],IF(Knives[[#This Row],[Model]]&lt;&gt;""," "&amp;Knives[[#This Row],[Model]],),".jpg"),CONCATENATE(Knives[[#This Row],[Manufacturer]],IF(Knives[[#This Row],[Model]]&lt;&gt;""," "&amp;Knives[[#This Row],[Model]],),".jpg")),"")</f>
        <v/>
      </c>
      <c r="AG58" s="5" t="str">
        <f t="shared" si="1"/>
        <v/>
      </c>
    </row>
    <row r="59" spans="2:33" x14ac:dyDescent="0.25">
      <c r="B59" s="80" t="str">
        <f t="shared" si="0"/>
        <v/>
      </c>
      <c r="C59" s="78"/>
      <c r="D59" s="78"/>
      <c r="E59" s="78"/>
      <c r="F59" s="47"/>
      <c r="G59" s="47"/>
      <c r="H59" s="47"/>
      <c r="I59" s="47"/>
      <c r="J59" s="47"/>
      <c r="K59" s="44"/>
      <c r="L59" s="47"/>
      <c r="M59" s="47"/>
      <c r="N59" s="47"/>
      <c r="O59" s="47"/>
      <c r="P59" s="78"/>
      <c r="Q59" s="44"/>
      <c r="R59" s="78"/>
      <c r="S59" s="47"/>
      <c r="T59" s="47"/>
      <c r="U59" s="111"/>
      <c r="V59" s="47"/>
      <c r="W59" s="47"/>
      <c r="X59" s="147"/>
      <c r="Y59" s="78"/>
      <c r="Z59" s="47"/>
      <c r="AA59" s="47"/>
      <c r="AB59" s="47"/>
      <c r="AC59" s="47"/>
      <c r="AD59" s="78"/>
      <c r="AE59" s="90" t="str">
        <f>IF(C59&lt;&gt;"",HYPERLINK(CONCATENATE(SheetName01,"\",Knives[[#This Row],[Manufacturer]],IF(Knives[[#This Row],[Model]]&lt;&gt;""," "&amp;Knives[[#This Row],[Model]],),".jpg"),CONCATENATE(Knives[[#This Row],[Manufacturer]],IF(Knives[[#This Row],[Model]]&lt;&gt;""," "&amp;Knives[[#This Row],[Model]],),".jpg")),"")</f>
        <v/>
      </c>
      <c r="AG59" s="5" t="str">
        <f t="shared" si="1"/>
        <v/>
      </c>
    </row>
    <row r="60" spans="2:33" x14ac:dyDescent="0.25">
      <c r="B60" s="80" t="str">
        <f t="shared" si="0"/>
        <v/>
      </c>
      <c r="C60" s="78"/>
      <c r="D60" s="78"/>
      <c r="E60" s="78"/>
      <c r="F60" s="47"/>
      <c r="G60" s="47"/>
      <c r="H60" s="47"/>
      <c r="I60" s="47"/>
      <c r="J60" s="47"/>
      <c r="K60" s="44"/>
      <c r="L60" s="47"/>
      <c r="M60" s="47"/>
      <c r="N60" s="47"/>
      <c r="O60" s="47"/>
      <c r="P60" s="78"/>
      <c r="Q60" s="44"/>
      <c r="R60" s="78"/>
      <c r="S60" s="47"/>
      <c r="T60" s="47"/>
      <c r="U60" s="111"/>
      <c r="V60" s="47"/>
      <c r="W60" s="47"/>
      <c r="X60" s="147"/>
      <c r="Y60" s="78"/>
      <c r="Z60" s="47"/>
      <c r="AA60" s="47"/>
      <c r="AB60" s="47"/>
      <c r="AC60" s="47"/>
      <c r="AD60" s="78"/>
      <c r="AE60" s="90" t="str">
        <f>IF(C60&lt;&gt;"",HYPERLINK(CONCATENATE(SheetName01,"\",Knives[[#This Row],[Manufacturer]],IF(Knives[[#This Row],[Model]]&lt;&gt;""," "&amp;Knives[[#This Row],[Model]],),".jpg"),CONCATENATE(Knives[[#This Row],[Manufacturer]],IF(Knives[[#This Row],[Model]]&lt;&gt;""," "&amp;Knives[[#This Row],[Model]],),".jpg")),"")</f>
        <v/>
      </c>
      <c r="AG60" s="5" t="str">
        <f t="shared" si="1"/>
        <v/>
      </c>
    </row>
    <row r="61" spans="2:33" x14ac:dyDescent="0.25">
      <c r="B61" s="80" t="str">
        <f t="shared" si="0"/>
        <v/>
      </c>
      <c r="C61" s="78"/>
      <c r="D61" s="78"/>
      <c r="E61" s="78"/>
      <c r="F61" s="47"/>
      <c r="G61" s="47"/>
      <c r="H61" s="47"/>
      <c r="I61" s="47"/>
      <c r="J61" s="47"/>
      <c r="K61" s="44"/>
      <c r="L61" s="47"/>
      <c r="M61" s="47"/>
      <c r="N61" s="47"/>
      <c r="O61" s="47"/>
      <c r="P61" s="78"/>
      <c r="Q61" s="44"/>
      <c r="R61" s="78"/>
      <c r="S61" s="47"/>
      <c r="T61" s="47"/>
      <c r="U61" s="111"/>
      <c r="V61" s="47"/>
      <c r="W61" s="47"/>
      <c r="X61" s="147"/>
      <c r="Y61" s="78"/>
      <c r="Z61" s="47"/>
      <c r="AA61" s="47"/>
      <c r="AB61" s="47"/>
      <c r="AC61" s="47"/>
      <c r="AD61" s="78"/>
      <c r="AE61" s="90" t="str">
        <f>IF(C61&lt;&gt;"",HYPERLINK(CONCATENATE(SheetName01,"\",Knives[[#This Row],[Manufacturer]],IF(Knives[[#This Row],[Model]]&lt;&gt;""," "&amp;Knives[[#This Row],[Model]],),".jpg"),CONCATENATE(Knives[[#This Row],[Manufacturer]],IF(Knives[[#This Row],[Model]]&lt;&gt;""," "&amp;Knives[[#This Row],[Model]],),".jpg")),"")</f>
        <v/>
      </c>
      <c r="AG61" s="5" t="str">
        <f t="shared" si="1"/>
        <v/>
      </c>
    </row>
    <row r="62" spans="2:33" x14ac:dyDescent="0.25">
      <c r="B62" s="80" t="str">
        <f t="shared" si="0"/>
        <v/>
      </c>
      <c r="C62" s="78"/>
      <c r="D62" s="78"/>
      <c r="E62" s="78"/>
      <c r="F62" s="47"/>
      <c r="G62" s="47"/>
      <c r="H62" s="47"/>
      <c r="I62" s="47"/>
      <c r="J62" s="47"/>
      <c r="K62" s="44"/>
      <c r="L62" s="47"/>
      <c r="M62" s="47"/>
      <c r="N62" s="47"/>
      <c r="O62" s="47"/>
      <c r="P62" s="78"/>
      <c r="Q62" s="44"/>
      <c r="R62" s="78"/>
      <c r="S62" s="47"/>
      <c r="T62" s="47"/>
      <c r="U62" s="111"/>
      <c r="V62" s="47"/>
      <c r="W62" s="47"/>
      <c r="X62" s="147"/>
      <c r="Y62" s="78"/>
      <c r="Z62" s="47"/>
      <c r="AA62" s="47"/>
      <c r="AB62" s="47"/>
      <c r="AC62" s="47"/>
      <c r="AD62" s="78"/>
      <c r="AE62" s="90" t="str">
        <f>IF(C62&lt;&gt;"",HYPERLINK(CONCATENATE(SheetName01,"\",Knives[[#This Row],[Manufacturer]],IF(Knives[[#This Row],[Model]]&lt;&gt;""," "&amp;Knives[[#This Row],[Model]],),".jpg"),CONCATENATE(Knives[[#This Row],[Manufacturer]],IF(Knives[[#This Row],[Model]]&lt;&gt;""," "&amp;Knives[[#This Row],[Model]],),".jpg")),"")</f>
        <v/>
      </c>
      <c r="AG62" s="5" t="str">
        <f t="shared" si="1"/>
        <v/>
      </c>
    </row>
    <row r="63" spans="2:33" x14ac:dyDescent="0.25">
      <c r="B63" s="80" t="str">
        <f t="shared" si="0"/>
        <v/>
      </c>
      <c r="C63" s="78"/>
      <c r="D63" s="78"/>
      <c r="E63" s="78"/>
      <c r="F63" s="47"/>
      <c r="G63" s="47"/>
      <c r="H63" s="47"/>
      <c r="I63" s="47"/>
      <c r="J63" s="47"/>
      <c r="K63" s="44"/>
      <c r="L63" s="47"/>
      <c r="M63" s="47"/>
      <c r="N63" s="47"/>
      <c r="O63" s="47"/>
      <c r="P63" s="78"/>
      <c r="Q63" s="44"/>
      <c r="R63" s="78"/>
      <c r="S63" s="47"/>
      <c r="T63" s="47"/>
      <c r="U63" s="111"/>
      <c r="V63" s="47"/>
      <c r="W63" s="47"/>
      <c r="X63" s="147"/>
      <c r="Y63" s="78"/>
      <c r="Z63" s="47"/>
      <c r="AA63" s="47"/>
      <c r="AB63" s="47"/>
      <c r="AC63" s="47"/>
      <c r="AD63" s="78"/>
      <c r="AE63" s="90" t="str">
        <f>IF(C63&lt;&gt;"",HYPERLINK(CONCATENATE(SheetName01,"\",Knives[[#This Row],[Manufacturer]],IF(Knives[[#This Row],[Model]]&lt;&gt;""," "&amp;Knives[[#This Row],[Model]],),".jpg"),CONCATENATE(Knives[[#This Row],[Manufacturer]],IF(Knives[[#This Row],[Model]]&lt;&gt;""," "&amp;Knives[[#This Row],[Model]],),".jpg")),"")</f>
        <v/>
      </c>
      <c r="AG63" s="5" t="str">
        <f t="shared" si="1"/>
        <v/>
      </c>
    </row>
    <row r="64" spans="2:33" x14ac:dyDescent="0.25">
      <c r="B64" s="80" t="str">
        <f t="shared" si="0"/>
        <v/>
      </c>
      <c r="C64" s="78"/>
      <c r="D64" s="78"/>
      <c r="E64" s="78"/>
      <c r="F64" s="47"/>
      <c r="G64" s="47"/>
      <c r="H64" s="47"/>
      <c r="I64" s="47"/>
      <c r="J64" s="47"/>
      <c r="K64" s="44"/>
      <c r="L64" s="47"/>
      <c r="M64" s="47"/>
      <c r="N64" s="47"/>
      <c r="O64" s="47"/>
      <c r="P64" s="78"/>
      <c r="Q64" s="44"/>
      <c r="R64" s="78"/>
      <c r="S64" s="47"/>
      <c r="T64" s="47"/>
      <c r="U64" s="111"/>
      <c r="V64" s="47"/>
      <c r="W64" s="47"/>
      <c r="X64" s="147"/>
      <c r="Y64" s="78"/>
      <c r="Z64" s="47"/>
      <c r="AA64" s="47"/>
      <c r="AB64" s="47"/>
      <c r="AC64" s="47"/>
      <c r="AD64" s="78"/>
      <c r="AE64" s="90" t="str">
        <f>IF(C64&lt;&gt;"",HYPERLINK(CONCATENATE(SheetName01,"\",Knives[[#This Row],[Manufacturer]],IF(Knives[[#This Row],[Model]]&lt;&gt;""," "&amp;Knives[[#This Row],[Model]],),".jpg"),CONCATENATE(Knives[[#This Row],[Manufacturer]],IF(Knives[[#This Row],[Model]]&lt;&gt;""," "&amp;Knives[[#This Row],[Model]],),".jpg")),"")</f>
        <v/>
      </c>
      <c r="AG64" s="5" t="str">
        <f t="shared" si="1"/>
        <v/>
      </c>
    </row>
    <row r="65" spans="2:33" x14ac:dyDescent="0.25">
      <c r="B65" s="80" t="str">
        <f t="shared" si="0"/>
        <v/>
      </c>
      <c r="C65" s="78"/>
      <c r="D65" s="78"/>
      <c r="E65" s="78"/>
      <c r="F65" s="47"/>
      <c r="G65" s="47"/>
      <c r="H65" s="47"/>
      <c r="I65" s="47"/>
      <c r="J65" s="47"/>
      <c r="K65" s="44"/>
      <c r="L65" s="47"/>
      <c r="M65" s="47"/>
      <c r="N65" s="47"/>
      <c r="O65" s="47"/>
      <c r="P65" s="78"/>
      <c r="Q65" s="44"/>
      <c r="R65" s="78"/>
      <c r="S65" s="47"/>
      <c r="T65" s="47"/>
      <c r="U65" s="111"/>
      <c r="V65" s="47"/>
      <c r="W65" s="47"/>
      <c r="X65" s="147"/>
      <c r="Y65" s="78"/>
      <c r="Z65" s="47"/>
      <c r="AA65" s="47"/>
      <c r="AB65" s="47"/>
      <c r="AC65" s="47"/>
      <c r="AD65" s="78"/>
      <c r="AE65" s="90" t="str">
        <f>IF(C65&lt;&gt;"",HYPERLINK(CONCATENATE(SheetName01,"\",Knives[[#This Row],[Manufacturer]],IF(Knives[[#This Row],[Model]]&lt;&gt;""," "&amp;Knives[[#This Row],[Model]],),".jpg"),CONCATENATE(Knives[[#This Row],[Manufacturer]],IF(Knives[[#This Row],[Model]]&lt;&gt;""," "&amp;Knives[[#This Row],[Model]],),".jpg")),"")</f>
        <v/>
      </c>
      <c r="AG65" s="5" t="str">
        <f t="shared" si="1"/>
        <v/>
      </c>
    </row>
    <row r="66" spans="2:33" x14ac:dyDescent="0.25">
      <c r="B66" s="80" t="str">
        <f t="shared" si="0"/>
        <v/>
      </c>
      <c r="C66" s="78"/>
      <c r="D66" s="78"/>
      <c r="E66" s="78"/>
      <c r="F66" s="47"/>
      <c r="G66" s="47"/>
      <c r="H66" s="47"/>
      <c r="I66" s="47"/>
      <c r="J66" s="47"/>
      <c r="K66" s="44"/>
      <c r="L66" s="47"/>
      <c r="M66" s="47"/>
      <c r="N66" s="47"/>
      <c r="O66" s="47"/>
      <c r="P66" s="78"/>
      <c r="Q66" s="44"/>
      <c r="R66" s="78"/>
      <c r="S66" s="47"/>
      <c r="T66" s="47"/>
      <c r="U66" s="111"/>
      <c r="V66" s="47"/>
      <c r="W66" s="47"/>
      <c r="X66" s="147"/>
      <c r="Y66" s="78"/>
      <c r="Z66" s="47"/>
      <c r="AA66" s="47"/>
      <c r="AB66" s="47"/>
      <c r="AC66" s="47"/>
      <c r="AD66" s="78"/>
      <c r="AE66" s="90" t="str">
        <f>IF(C66&lt;&gt;"",HYPERLINK(CONCATENATE(SheetName01,"\",Knives[[#This Row],[Manufacturer]],IF(Knives[[#This Row],[Model]]&lt;&gt;""," "&amp;Knives[[#This Row],[Model]],),".jpg"),CONCATENATE(Knives[[#This Row],[Manufacturer]],IF(Knives[[#This Row],[Model]]&lt;&gt;""," "&amp;Knives[[#This Row],[Model]],),".jpg")),"")</f>
        <v/>
      </c>
      <c r="AG66" s="5" t="str">
        <f t="shared" si="1"/>
        <v/>
      </c>
    </row>
    <row r="67" spans="2:33" x14ac:dyDescent="0.25">
      <c r="B67" s="80" t="str">
        <f t="shared" si="0"/>
        <v/>
      </c>
      <c r="C67" s="78"/>
      <c r="D67" s="78"/>
      <c r="E67" s="78"/>
      <c r="F67" s="47"/>
      <c r="G67" s="47"/>
      <c r="H67" s="47"/>
      <c r="I67" s="47"/>
      <c r="J67" s="47"/>
      <c r="K67" s="44"/>
      <c r="L67" s="47"/>
      <c r="M67" s="47"/>
      <c r="N67" s="47"/>
      <c r="O67" s="47"/>
      <c r="P67" s="78"/>
      <c r="Q67" s="44"/>
      <c r="R67" s="78"/>
      <c r="S67" s="47"/>
      <c r="T67" s="47"/>
      <c r="U67" s="111"/>
      <c r="V67" s="47"/>
      <c r="W67" s="47"/>
      <c r="X67" s="147"/>
      <c r="Y67" s="78"/>
      <c r="Z67" s="47"/>
      <c r="AA67" s="47"/>
      <c r="AB67" s="47"/>
      <c r="AC67" s="47"/>
      <c r="AD67" s="78"/>
      <c r="AE67" s="90" t="str">
        <f>IF(C67&lt;&gt;"",HYPERLINK(CONCATENATE(SheetName01,"\",Knives[[#This Row],[Manufacturer]],IF(Knives[[#This Row],[Model]]&lt;&gt;""," "&amp;Knives[[#This Row],[Model]],),".jpg"),CONCATENATE(Knives[[#This Row],[Manufacturer]],IF(Knives[[#This Row],[Model]]&lt;&gt;""," "&amp;Knives[[#This Row],[Model]],),".jpg")),"")</f>
        <v/>
      </c>
      <c r="AG67" s="5" t="str">
        <f t="shared" si="1"/>
        <v/>
      </c>
    </row>
    <row r="68" spans="2:33" x14ac:dyDescent="0.25">
      <c r="B68" s="80" t="str">
        <f t="shared" ref="B68:B131" si="2">IF(C68&lt;&gt;"",ROW(A65),"")</f>
        <v/>
      </c>
      <c r="C68" s="78"/>
      <c r="D68" s="78"/>
      <c r="E68" s="78"/>
      <c r="F68" s="47"/>
      <c r="G68" s="47"/>
      <c r="H68" s="47"/>
      <c r="I68" s="47"/>
      <c r="J68" s="47"/>
      <c r="K68" s="44"/>
      <c r="L68" s="47"/>
      <c r="M68" s="47"/>
      <c r="N68" s="47"/>
      <c r="O68" s="47"/>
      <c r="P68" s="78"/>
      <c r="Q68" s="44"/>
      <c r="R68" s="78"/>
      <c r="S68" s="47"/>
      <c r="T68" s="47"/>
      <c r="U68" s="111"/>
      <c r="V68" s="47"/>
      <c r="W68" s="47"/>
      <c r="X68" s="147"/>
      <c r="Y68" s="78"/>
      <c r="Z68" s="47"/>
      <c r="AA68" s="47"/>
      <c r="AB68" s="47"/>
      <c r="AC68" s="47"/>
      <c r="AD68" s="78"/>
      <c r="AE68" s="90" t="str">
        <f>IF(C68&lt;&gt;"",HYPERLINK(CONCATENATE(SheetName01,"\",Knives[[#This Row],[Manufacturer]],IF(Knives[[#This Row],[Model]]&lt;&gt;""," "&amp;Knives[[#This Row],[Model]],),".jpg"),CONCATENATE(Knives[[#This Row],[Manufacturer]],IF(Knives[[#This Row],[Model]]&lt;&gt;""," "&amp;Knives[[#This Row],[Model]],),".jpg")),"")</f>
        <v/>
      </c>
      <c r="AG68" s="5" t="str">
        <f t="shared" si="1"/>
        <v/>
      </c>
    </row>
    <row r="69" spans="2:33" x14ac:dyDescent="0.25">
      <c r="B69" s="80" t="str">
        <f t="shared" si="2"/>
        <v/>
      </c>
      <c r="C69" s="78"/>
      <c r="D69" s="78"/>
      <c r="E69" s="78"/>
      <c r="F69" s="47"/>
      <c r="G69" s="47"/>
      <c r="H69" s="47"/>
      <c r="I69" s="47"/>
      <c r="J69" s="47"/>
      <c r="K69" s="44"/>
      <c r="L69" s="47"/>
      <c r="M69" s="47"/>
      <c r="N69" s="47"/>
      <c r="O69" s="47"/>
      <c r="P69" s="78"/>
      <c r="Q69" s="44"/>
      <c r="R69" s="78"/>
      <c r="S69" s="47"/>
      <c r="T69" s="47"/>
      <c r="U69" s="111"/>
      <c r="V69" s="47"/>
      <c r="W69" s="47"/>
      <c r="X69" s="147"/>
      <c r="Y69" s="78"/>
      <c r="Z69" s="47"/>
      <c r="AA69" s="47"/>
      <c r="AB69" s="47"/>
      <c r="AC69" s="47"/>
      <c r="AD69" s="78"/>
      <c r="AE69" s="90" t="str">
        <f>IF(C69&lt;&gt;"",HYPERLINK(CONCATENATE(SheetName01,"\",Knives[[#This Row],[Manufacturer]],IF(Knives[[#This Row],[Model]]&lt;&gt;""," "&amp;Knives[[#This Row],[Model]],),".jpg"),CONCATENATE(Knives[[#This Row],[Manufacturer]],IF(Knives[[#This Row],[Model]]&lt;&gt;""," "&amp;Knives[[#This Row],[Model]],),".jpg")),"")</f>
        <v/>
      </c>
      <c r="AG69" s="5" t="str">
        <f t="shared" si="1"/>
        <v/>
      </c>
    </row>
    <row r="70" spans="2:33" x14ac:dyDescent="0.25">
      <c r="B70" s="80" t="str">
        <f t="shared" si="2"/>
        <v/>
      </c>
      <c r="C70" s="78"/>
      <c r="D70" s="78"/>
      <c r="E70" s="78"/>
      <c r="F70" s="47"/>
      <c r="G70" s="47"/>
      <c r="H70" s="47"/>
      <c r="I70" s="47"/>
      <c r="J70" s="47"/>
      <c r="K70" s="44"/>
      <c r="L70" s="47"/>
      <c r="M70" s="47"/>
      <c r="N70" s="47"/>
      <c r="O70" s="47"/>
      <c r="P70" s="78"/>
      <c r="Q70" s="44"/>
      <c r="R70" s="78"/>
      <c r="S70" s="47"/>
      <c r="T70" s="47"/>
      <c r="U70" s="111"/>
      <c r="V70" s="47"/>
      <c r="W70" s="47"/>
      <c r="X70" s="147"/>
      <c r="Y70" s="78"/>
      <c r="Z70" s="47"/>
      <c r="AA70" s="47"/>
      <c r="AB70" s="47"/>
      <c r="AC70" s="47"/>
      <c r="AD70" s="78"/>
      <c r="AE70" s="90" t="str">
        <f>IF(C70&lt;&gt;"",HYPERLINK(CONCATENATE(SheetName01,"\",Knives[[#This Row],[Manufacturer]],IF(Knives[[#This Row],[Model]]&lt;&gt;""," "&amp;Knives[[#This Row],[Model]],),".jpg"),CONCATENATE(Knives[[#This Row],[Manufacturer]],IF(Knives[[#This Row],[Model]]&lt;&gt;""," "&amp;Knives[[#This Row],[Model]],),".jpg")),"")</f>
        <v/>
      </c>
      <c r="AG70" s="5" t="str">
        <f t="shared" si="1"/>
        <v/>
      </c>
    </row>
    <row r="71" spans="2:33" x14ac:dyDescent="0.25">
      <c r="B71" s="80" t="str">
        <f t="shared" si="2"/>
        <v/>
      </c>
      <c r="C71" s="78"/>
      <c r="D71" s="78"/>
      <c r="E71" s="78"/>
      <c r="F71" s="47"/>
      <c r="G71" s="47"/>
      <c r="H71" s="47"/>
      <c r="I71" s="47"/>
      <c r="J71" s="47"/>
      <c r="K71" s="44"/>
      <c r="L71" s="47"/>
      <c r="M71" s="47"/>
      <c r="N71" s="47"/>
      <c r="O71" s="47"/>
      <c r="P71" s="78"/>
      <c r="Q71" s="44"/>
      <c r="R71" s="78"/>
      <c r="S71" s="47"/>
      <c r="T71" s="47"/>
      <c r="U71" s="111"/>
      <c r="V71" s="47"/>
      <c r="W71" s="47"/>
      <c r="X71" s="147"/>
      <c r="Y71" s="78"/>
      <c r="Z71" s="47"/>
      <c r="AA71" s="47"/>
      <c r="AB71" s="47"/>
      <c r="AC71" s="47"/>
      <c r="AD71" s="78"/>
      <c r="AE71" s="90" t="str">
        <f>IF(C71&lt;&gt;"",HYPERLINK(CONCATENATE(SheetName01,"\",Knives[[#This Row],[Manufacturer]],IF(Knives[[#This Row],[Model]]&lt;&gt;""," "&amp;Knives[[#This Row],[Model]],),".jpg"),CONCATENATE(Knives[[#This Row],[Manufacturer]],IF(Knives[[#This Row],[Model]]&lt;&gt;""," "&amp;Knives[[#This Row],[Model]],),".jpg")),"")</f>
        <v/>
      </c>
      <c r="AG71" s="5" t="str">
        <f t="shared" ref="AG71:AG134" si="3">IF(B71="","",(CONCATENATE(TEXT(B71,"000")," ",C71," ",D71)))</f>
        <v/>
      </c>
    </row>
    <row r="72" spans="2:33" x14ac:dyDescent="0.25">
      <c r="B72" s="80" t="str">
        <f t="shared" si="2"/>
        <v/>
      </c>
      <c r="C72" s="78"/>
      <c r="D72" s="78"/>
      <c r="E72" s="78"/>
      <c r="F72" s="47"/>
      <c r="G72" s="47"/>
      <c r="H72" s="47"/>
      <c r="I72" s="47"/>
      <c r="J72" s="47"/>
      <c r="K72" s="44"/>
      <c r="L72" s="47"/>
      <c r="M72" s="47"/>
      <c r="N72" s="47"/>
      <c r="O72" s="47"/>
      <c r="P72" s="78"/>
      <c r="Q72" s="44"/>
      <c r="R72" s="78"/>
      <c r="S72" s="47"/>
      <c r="T72" s="47"/>
      <c r="U72" s="111"/>
      <c r="V72" s="47"/>
      <c r="W72" s="47"/>
      <c r="X72" s="147"/>
      <c r="Y72" s="78"/>
      <c r="Z72" s="47"/>
      <c r="AA72" s="47"/>
      <c r="AB72" s="47"/>
      <c r="AC72" s="47"/>
      <c r="AD72" s="78"/>
      <c r="AE72" s="90" t="str">
        <f>IF(C72&lt;&gt;"",HYPERLINK(CONCATENATE(SheetName01,"\",Knives[[#This Row],[Manufacturer]],IF(Knives[[#This Row],[Model]]&lt;&gt;""," "&amp;Knives[[#This Row],[Model]],),".jpg"),CONCATENATE(Knives[[#This Row],[Manufacturer]],IF(Knives[[#This Row],[Model]]&lt;&gt;""," "&amp;Knives[[#This Row],[Model]],),".jpg")),"")</f>
        <v/>
      </c>
      <c r="AG72" s="5" t="str">
        <f t="shared" si="3"/>
        <v/>
      </c>
    </row>
    <row r="73" spans="2:33" x14ac:dyDescent="0.25">
      <c r="B73" s="80" t="str">
        <f t="shared" si="2"/>
        <v/>
      </c>
      <c r="C73" s="78"/>
      <c r="D73" s="78"/>
      <c r="E73" s="78"/>
      <c r="F73" s="47"/>
      <c r="G73" s="47"/>
      <c r="H73" s="47"/>
      <c r="I73" s="47"/>
      <c r="J73" s="47"/>
      <c r="K73" s="44"/>
      <c r="L73" s="47"/>
      <c r="M73" s="47"/>
      <c r="N73" s="47"/>
      <c r="O73" s="47"/>
      <c r="P73" s="78"/>
      <c r="Q73" s="44"/>
      <c r="R73" s="78"/>
      <c r="S73" s="47"/>
      <c r="T73" s="47"/>
      <c r="U73" s="111"/>
      <c r="V73" s="47"/>
      <c r="W73" s="47"/>
      <c r="X73" s="147"/>
      <c r="Y73" s="78"/>
      <c r="Z73" s="47"/>
      <c r="AA73" s="47"/>
      <c r="AB73" s="47"/>
      <c r="AC73" s="47"/>
      <c r="AD73" s="78"/>
      <c r="AE73" s="90" t="str">
        <f>IF(C73&lt;&gt;"",HYPERLINK(CONCATENATE(SheetName01,"\",Knives[[#This Row],[Manufacturer]],IF(Knives[[#This Row],[Model]]&lt;&gt;""," "&amp;Knives[[#This Row],[Model]],),".jpg"),CONCATENATE(Knives[[#This Row],[Manufacturer]],IF(Knives[[#This Row],[Model]]&lt;&gt;""," "&amp;Knives[[#This Row],[Model]],),".jpg")),"")</f>
        <v/>
      </c>
      <c r="AG73" s="5" t="str">
        <f t="shared" si="3"/>
        <v/>
      </c>
    </row>
    <row r="74" spans="2:33" x14ac:dyDescent="0.25">
      <c r="B74" s="80" t="str">
        <f t="shared" si="2"/>
        <v/>
      </c>
      <c r="C74" s="78"/>
      <c r="D74" s="78"/>
      <c r="E74" s="78"/>
      <c r="F74" s="47"/>
      <c r="G74" s="47"/>
      <c r="H74" s="47"/>
      <c r="I74" s="47"/>
      <c r="J74" s="47"/>
      <c r="K74" s="44"/>
      <c r="L74" s="47"/>
      <c r="M74" s="47"/>
      <c r="N74" s="47"/>
      <c r="O74" s="47"/>
      <c r="P74" s="78"/>
      <c r="Q74" s="44"/>
      <c r="R74" s="78"/>
      <c r="S74" s="47"/>
      <c r="T74" s="47"/>
      <c r="U74" s="111"/>
      <c r="V74" s="47"/>
      <c r="W74" s="47"/>
      <c r="X74" s="147"/>
      <c r="Y74" s="78"/>
      <c r="Z74" s="47"/>
      <c r="AA74" s="47"/>
      <c r="AB74" s="47"/>
      <c r="AC74" s="47"/>
      <c r="AD74" s="78"/>
      <c r="AE74" s="90" t="str">
        <f>IF(C74&lt;&gt;"",HYPERLINK(CONCATENATE(SheetName01,"\",Knives[[#This Row],[Manufacturer]],IF(Knives[[#This Row],[Model]]&lt;&gt;""," "&amp;Knives[[#This Row],[Model]],),".jpg"),CONCATENATE(Knives[[#This Row],[Manufacturer]],IF(Knives[[#This Row],[Model]]&lt;&gt;""," "&amp;Knives[[#This Row],[Model]],),".jpg")),"")</f>
        <v/>
      </c>
      <c r="AG74" s="5" t="str">
        <f t="shared" si="3"/>
        <v/>
      </c>
    </row>
    <row r="75" spans="2:33" x14ac:dyDescent="0.25">
      <c r="B75" s="80" t="str">
        <f t="shared" si="2"/>
        <v/>
      </c>
      <c r="C75" s="78"/>
      <c r="D75" s="78"/>
      <c r="E75" s="78"/>
      <c r="F75" s="47"/>
      <c r="G75" s="47"/>
      <c r="H75" s="47"/>
      <c r="I75" s="47"/>
      <c r="J75" s="47"/>
      <c r="K75" s="44"/>
      <c r="L75" s="47"/>
      <c r="M75" s="47"/>
      <c r="N75" s="47"/>
      <c r="O75" s="47"/>
      <c r="P75" s="78"/>
      <c r="Q75" s="44"/>
      <c r="R75" s="78"/>
      <c r="S75" s="47"/>
      <c r="T75" s="47"/>
      <c r="U75" s="111"/>
      <c r="V75" s="47"/>
      <c r="W75" s="47"/>
      <c r="X75" s="147"/>
      <c r="Y75" s="78"/>
      <c r="Z75" s="47"/>
      <c r="AA75" s="47"/>
      <c r="AB75" s="47"/>
      <c r="AC75" s="47"/>
      <c r="AD75" s="78"/>
      <c r="AE75" s="90" t="str">
        <f>IF(C75&lt;&gt;"",HYPERLINK(CONCATENATE(SheetName01,"\",Knives[[#This Row],[Manufacturer]],IF(Knives[[#This Row],[Model]]&lt;&gt;""," "&amp;Knives[[#This Row],[Model]],),".jpg"),CONCATENATE(Knives[[#This Row],[Manufacturer]],IF(Knives[[#This Row],[Model]]&lt;&gt;""," "&amp;Knives[[#This Row],[Model]],),".jpg")),"")</f>
        <v/>
      </c>
      <c r="AG75" s="5" t="str">
        <f t="shared" si="3"/>
        <v/>
      </c>
    </row>
    <row r="76" spans="2:33" x14ac:dyDescent="0.25">
      <c r="B76" s="80" t="str">
        <f t="shared" si="2"/>
        <v/>
      </c>
      <c r="C76" s="78"/>
      <c r="D76" s="78"/>
      <c r="E76" s="78"/>
      <c r="F76" s="47"/>
      <c r="G76" s="47"/>
      <c r="H76" s="47"/>
      <c r="I76" s="47"/>
      <c r="J76" s="47"/>
      <c r="K76" s="44"/>
      <c r="L76" s="47"/>
      <c r="M76" s="47"/>
      <c r="N76" s="47"/>
      <c r="O76" s="47"/>
      <c r="P76" s="78"/>
      <c r="Q76" s="44"/>
      <c r="R76" s="78"/>
      <c r="S76" s="47"/>
      <c r="T76" s="47"/>
      <c r="U76" s="111"/>
      <c r="V76" s="47"/>
      <c r="W76" s="47"/>
      <c r="X76" s="147"/>
      <c r="Y76" s="78"/>
      <c r="Z76" s="47"/>
      <c r="AA76" s="47"/>
      <c r="AB76" s="47"/>
      <c r="AC76" s="47"/>
      <c r="AD76" s="78"/>
      <c r="AE76" s="90" t="str">
        <f>IF(C76&lt;&gt;"",HYPERLINK(CONCATENATE(SheetName01,"\",Knives[[#This Row],[Manufacturer]],IF(Knives[[#This Row],[Model]]&lt;&gt;""," "&amp;Knives[[#This Row],[Model]],),".jpg"),CONCATENATE(Knives[[#This Row],[Manufacturer]],IF(Knives[[#This Row],[Model]]&lt;&gt;""," "&amp;Knives[[#This Row],[Model]],),".jpg")),"")</f>
        <v/>
      </c>
      <c r="AG76" s="5" t="str">
        <f t="shared" si="3"/>
        <v/>
      </c>
    </row>
    <row r="77" spans="2:33" x14ac:dyDescent="0.25">
      <c r="B77" s="80" t="str">
        <f t="shared" si="2"/>
        <v/>
      </c>
      <c r="C77" s="78"/>
      <c r="D77" s="78"/>
      <c r="E77" s="78"/>
      <c r="F77" s="47"/>
      <c r="G77" s="47"/>
      <c r="H77" s="47"/>
      <c r="I77" s="47"/>
      <c r="J77" s="47"/>
      <c r="K77" s="44"/>
      <c r="L77" s="47"/>
      <c r="M77" s="47"/>
      <c r="N77" s="47"/>
      <c r="O77" s="47"/>
      <c r="P77" s="78"/>
      <c r="Q77" s="44"/>
      <c r="R77" s="78"/>
      <c r="S77" s="47"/>
      <c r="T77" s="47"/>
      <c r="U77" s="111"/>
      <c r="V77" s="47"/>
      <c r="W77" s="47"/>
      <c r="X77" s="147"/>
      <c r="Y77" s="78"/>
      <c r="Z77" s="47"/>
      <c r="AA77" s="47"/>
      <c r="AB77" s="47"/>
      <c r="AC77" s="47"/>
      <c r="AD77" s="78"/>
      <c r="AE77" s="90" t="str">
        <f>IF(C77&lt;&gt;"",HYPERLINK(CONCATENATE(SheetName01,"\",Knives[[#This Row],[Manufacturer]],IF(Knives[[#This Row],[Model]]&lt;&gt;""," "&amp;Knives[[#This Row],[Model]],),".jpg"),CONCATENATE(Knives[[#This Row],[Manufacturer]],IF(Knives[[#This Row],[Model]]&lt;&gt;""," "&amp;Knives[[#This Row],[Model]],),".jpg")),"")</f>
        <v/>
      </c>
      <c r="AG77" s="5" t="str">
        <f t="shared" si="3"/>
        <v/>
      </c>
    </row>
    <row r="78" spans="2:33" x14ac:dyDescent="0.25">
      <c r="B78" s="80" t="str">
        <f t="shared" si="2"/>
        <v/>
      </c>
      <c r="C78" s="78"/>
      <c r="D78" s="78"/>
      <c r="E78" s="78"/>
      <c r="F78" s="47"/>
      <c r="G78" s="47"/>
      <c r="H78" s="47"/>
      <c r="I78" s="47"/>
      <c r="J78" s="47"/>
      <c r="K78" s="44"/>
      <c r="L78" s="47"/>
      <c r="M78" s="47"/>
      <c r="N78" s="47"/>
      <c r="O78" s="47"/>
      <c r="P78" s="78"/>
      <c r="Q78" s="44"/>
      <c r="R78" s="78"/>
      <c r="S78" s="47"/>
      <c r="T78" s="47"/>
      <c r="U78" s="111"/>
      <c r="V78" s="47"/>
      <c r="W78" s="47"/>
      <c r="X78" s="147"/>
      <c r="Y78" s="78"/>
      <c r="Z78" s="47"/>
      <c r="AA78" s="47"/>
      <c r="AB78" s="47"/>
      <c r="AC78" s="47"/>
      <c r="AD78" s="78"/>
      <c r="AE78" s="90" t="str">
        <f>IF(C78&lt;&gt;"",HYPERLINK(CONCATENATE(SheetName01,"\",Knives[[#This Row],[Manufacturer]],IF(Knives[[#This Row],[Model]]&lt;&gt;""," "&amp;Knives[[#This Row],[Model]],),".jpg"),CONCATENATE(Knives[[#This Row],[Manufacturer]],IF(Knives[[#This Row],[Model]]&lt;&gt;""," "&amp;Knives[[#This Row],[Model]],),".jpg")),"")</f>
        <v/>
      </c>
      <c r="AG78" s="5" t="str">
        <f t="shared" si="3"/>
        <v/>
      </c>
    </row>
    <row r="79" spans="2:33" x14ac:dyDescent="0.25">
      <c r="B79" s="80" t="str">
        <f t="shared" si="2"/>
        <v/>
      </c>
      <c r="C79" s="78"/>
      <c r="D79" s="78"/>
      <c r="E79" s="78"/>
      <c r="F79" s="47"/>
      <c r="G79" s="47"/>
      <c r="H79" s="47"/>
      <c r="I79" s="47"/>
      <c r="J79" s="47"/>
      <c r="K79" s="44"/>
      <c r="L79" s="47"/>
      <c r="M79" s="47"/>
      <c r="N79" s="47"/>
      <c r="O79" s="47"/>
      <c r="P79" s="78"/>
      <c r="Q79" s="44"/>
      <c r="R79" s="78"/>
      <c r="S79" s="47"/>
      <c r="T79" s="47"/>
      <c r="U79" s="111"/>
      <c r="V79" s="47"/>
      <c r="W79" s="47"/>
      <c r="X79" s="147"/>
      <c r="Y79" s="78"/>
      <c r="Z79" s="47"/>
      <c r="AA79" s="47"/>
      <c r="AB79" s="47"/>
      <c r="AC79" s="47"/>
      <c r="AD79" s="78"/>
      <c r="AE79" s="90" t="str">
        <f>IF(C79&lt;&gt;"",HYPERLINK(CONCATENATE(SheetName01,"\",Knives[[#This Row],[Manufacturer]],IF(Knives[[#This Row],[Model]]&lt;&gt;""," "&amp;Knives[[#This Row],[Model]],),".jpg"),CONCATENATE(Knives[[#This Row],[Manufacturer]],IF(Knives[[#This Row],[Model]]&lt;&gt;""," "&amp;Knives[[#This Row],[Model]],),".jpg")),"")</f>
        <v/>
      </c>
      <c r="AG79" s="5" t="str">
        <f t="shared" si="3"/>
        <v/>
      </c>
    </row>
    <row r="80" spans="2:33" x14ac:dyDescent="0.25">
      <c r="B80" s="80" t="str">
        <f t="shared" si="2"/>
        <v/>
      </c>
      <c r="C80" s="78"/>
      <c r="D80" s="78"/>
      <c r="E80" s="78"/>
      <c r="F80" s="47"/>
      <c r="G80" s="47"/>
      <c r="H80" s="47"/>
      <c r="I80" s="47"/>
      <c r="J80" s="47"/>
      <c r="K80" s="44"/>
      <c r="L80" s="47"/>
      <c r="M80" s="47"/>
      <c r="N80" s="47"/>
      <c r="O80" s="47"/>
      <c r="P80" s="78"/>
      <c r="Q80" s="44"/>
      <c r="R80" s="78"/>
      <c r="S80" s="47"/>
      <c r="T80" s="47"/>
      <c r="U80" s="111"/>
      <c r="V80" s="47"/>
      <c r="W80" s="47"/>
      <c r="X80" s="147"/>
      <c r="Y80" s="78"/>
      <c r="Z80" s="47"/>
      <c r="AA80" s="47"/>
      <c r="AB80" s="47"/>
      <c r="AC80" s="47"/>
      <c r="AD80" s="78"/>
      <c r="AE80" s="90" t="str">
        <f>IF(C80&lt;&gt;"",HYPERLINK(CONCATENATE(SheetName01,"\",Knives[[#This Row],[Manufacturer]],IF(Knives[[#This Row],[Model]]&lt;&gt;""," "&amp;Knives[[#This Row],[Model]],),".jpg"),CONCATENATE(Knives[[#This Row],[Manufacturer]],IF(Knives[[#This Row],[Model]]&lt;&gt;""," "&amp;Knives[[#This Row],[Model]],),".jpg")),"")</f>
        <v/>
      </c>
      <c r="AG80" s="5" t="str">
        <f t="shared" si="3"/>
        <v/>
      </c>
    </row>
    <row r="81" spans="2:33" x14ac:dyDescent="0.25">
      <c r="B81" s="80" t="str">
        <f t="shared" si="2"/>
        <v/>
      </c>
      <c r="C81" s="78"/>
      <c r="D81" s="78"/>
      <c r="E81" s="78"/>
      <c r="F81" s="47"/>
      <c r="G81" s="47"/>
      <c r="H81" s="47"/>
      <c r="I81" s="47"/>
      <c r="J81" s="47"/>
      <c r="K81" s="44"/>
      <c r="L81" s="47"/>
      <c r="M81" s="47"/>
      <c r="N81" s="47"/>
      <c r="O81" s="47"/>
      <c r="P81" s="78"/>
      <c r="Q81" s="44"/>
      <c r="R81" s="78"/>
      <c r="S81" s="47"/>
      <c r="T81" s="47"/>
      <c r="U81" s="111"/>
      <c r="V81" s="47"/>
      <c r="W81" s="47"/>
      <c r="X81" s="147"/>
      <c r="Y81" s="78"/>
      <c r="Z81" s="47"/>
      <c r="AA81" s="47"/>
      <c r="AB81" s="47"/>
      <c r="AC81" s="47"/>
      <c r="AD81" s="78"/>
      <c r="AE81" s="90" t="str">
        <f>IF(C81&lt;&gt;"",HYPERLINK(CONCATENATE(SheetName01,"\",Knives[[#This Row],[Manufacturer]],IF(Knives[[#This Row],[Model]]&lt;&gt;""," "&amp;Knives[[#This Row],[Model]],),".jpg"),CONCATENATE(Knives[[#This Row],[Manufacturer]],IF(Knives[[#This Row],[Model]]&lt;&gt;""," "&amp;Knives[[#This Row],[Model]],),".jpg")),"")</f>
        <v/>
      </c>
      <c r="AG81" s="5" t="str">
        <f t="shared" si="3"/>
        <v/>
      </c>
    </row>
    <row r="82" spans="2:33" x14ac:dyDescent="0.25">
      <c r="B82" s="80" t="str">
        <f t="shared" si="2"/>
        <v/>
      </c>
      <c r="C82" s="78"/>
      <c r="D82" s="78"/>
      <c r="E82" s="78"/>
      <c r="F82" s="47"/>
      <c r="G82" s="47"/>
      <c r="H82" s="47"/>
      <c r="I82" s="47"/>
      <c r="J82" s="47"/>
      <c r="K82" s="44"/>
      <c r="L82" s="47"/>
      <c r="M82" s="47"/>
      <c r="N82" s="47"/>
      <c r="O82" s="47"/>
      <c r="P82" s="78"/>
      <c r="Q82" s="44"/>
      <c r="R82" s="78"/>
      <c r="S82" s="47"/>
      <c r="T82" s="47"/>
      <c r="U82" s="111"/>
      <c r="V82" s="47"/>
      <c r="W82" s="47"/>
      <c r="X82" s="147"/>
      <c r="Y82" s="78"/>
      <c r="Z82" s="47"/>
      <c r="AA82" s="47"/>
      <c r="AB82" s="47"/>
      <c r="AC82" s="47"/>
      <c r="AD82" s="78"/>
      <c r="AE82" s="90" t="str">
        <f>IF(C82&lt;&gt;"",HYPERLINK(CONCATENATE(SheetName01,"\",Knives[[#This Row],[Manufacturer]],IF(Knives[[#This Row],[Model]]&lt;&gt;""," "&amp;Knives[[#This Row],[Model]],),".jpg"),CONCATENATE(Knives[[#This Row],[Manufacturer]],IF(Knives[[#This Row],[Model]]&lt;&gt;""," "&amp;Knives[[#This Row],[Model]],),".jpg")),"")</f>
        <v/>
      </c>
      <c r="AG82" s="5" t="str">
        <f t="shared" si="3"/>
        <v/>
      </c>
    </row>
    <row r="83" spans="2:33" x14ac:dyDescent="0.25">
      <c r="B83" s="80" t="str">
        <f t="shared" si="2"/>
        <v/>
      </c>
      <c r="C83" s="78"/>
      <c r="D83" s="78"/>
      <c r="E83" s="78"/>
      <c r="F83" s="47"/>
      <c r="G83" s="47"/>
      <c r="H83" s="47"/>
      <c r="I83" s="47"/>
      <c r="J83" s="47"/>
      <c r="K83" s="44"/>
      <c r="L83" s="47"/>
      <c r="M83" s="47"/>
      <c r="N83" s="47"/>
      <c r="O83" s="47"/>
      <c r="P83" s="78"/>
      <c r="Q83" s="44"/>
      <c r="R83" s="78"/>
      <c r="S83" s="47"/>
      <c r="T83" s="47"/>
      <c r="U83" s="111"/>
      <c r="V83" s="47"/>
      <c r="W83" s="47"/>
      <c r="X83" s="147"/>
      <c r="Y83" s="78"/>
      <c r="Z83" s="47"/>
      <c r="AA83" s="47"/>
      <c r="AB83" s="47"/>
      <c r="AC83" s="47"/>
      <c r="AD83" s="78"/>
      <c r="AE83" s="90" t="str">
        <f>IF(C83&lt;&gt;"",HYPERLINK(CONCATENATE(SheetName01,"\",Knives[[#This Row],[Manufacturer]],IF(Knives[[#This Row],[Model]]&lt;&gt;""," "&amp;Knives[[#This Row],[Model]],),".jpg"),CONCATENATE(Knives[[#This Row],[Manufacturer]],IF(Knives[[#This Row],[Model]]&lt;&gt;""," "&amp;Knives[[#This Row],[Model]],),".jpg")),"")</f>
        <v/>
      </c>
      <c r="AG83" s="5" t="str">
        <f t="shared" si="3"/>
        <v/>
      </c>
    </row>
    <row r="84" spans="2:33" x14ac:dyDescent="0.25">
      <c r="B84" s="80" t="str">
        <f t="shared" si="2"/>
        <v/>
      </c>
      <c r="C84" s="78"/>
      <c r="D84" s="78"/>
      <c r="E84" s="78"/>
      <c r="F84" s="47"/>
      <c r="G84" s="47"/>
      <c r="H84" s="47"/>
      <c r="I84" s="47"/>
      <c r="J84" s="47"/>
      <c r="K84" s="44"/>
      <c r="L84" s="47"/>
      <c r="M84" s="47"/>
      <c r="N84" s="47"/>
      <c r="O84" s="47"/>
      <c r="P84" s="78"/>
      <c r="Q84" s="44"/>
      <c r="R84" s="78"/>
      <c r="S84" s="47"/>
      <c r="T84" s="47"/>
      <c r="U84" s="111"/>
      <c r="V84" s="47"/>
      <c r="W84" s="47"/>
      <c r="X84" s="147"/>
      <c r="Y84" s="78"/>
      <c r="Z84" s="47"/>
      <c r="AA84" s="47"/>
      <c r="AB84" s="47"/>
      <c r="AC84" s="47"/>
      <c r="AD84" s="78"/>
      <c r="AE84" s="90" t="str">
        <f>IF(C84&lt;&gt;"",HYPERLINK(CONCATENATE(SheetName01,"\",Knives[[#This Row],[Manufacturer]],IF(Knives[[#This Row],[Model]]&lt;&gt;""," "&amp;Knives[[#This Row],[Model]],),".jpg"),CONCATENATE(Knives[[#This Row],[Manufacturer]],IF(Knives[[#This Row],[Model]]&lt;&gt;""," "&amp;Knives[[#This Row],[Model]],),".jpg")),"")</f>
        <v/>
      </c>
      <c r="AG84" s="5" t="str">
        <f t="shared" si="3"/>
        <v/>
      </c>
    </row>
    <row r="85" spans="2:33" x14ac:dyDescent="0.25">
      <c r="B85" s="80" t="str">
        <f t="shared" si="2"/>
        <v/>
      </c>
      <c r="C85" s="78"/>
      <c r="D85" s="78"/>
      <c r="E85" s="78"/>
      <c r="F85" s="47"/>
      <c r="G85" s="47"/>
      <c r="H85" s="47"/>
      <c r="I85" s="47"/>
      <c r="J85" s="47"/>
      <c r="K85" s="44"/>
      <c r="L85" s="47"/>
      <c r="M85" s="47"/>
      <c r="N85" s="47"/>
      <c r="O85" s="47"/>
      <c r="P85" s="78"/>
      <c r="Q85" s="44"/>
      <c r="R85" s="78"/>
      <c r="S85" s="47"/>
      <c r="T85" s="47"/>
      <c r="U85" s="111"/>
      <c r="V85" s="47"/>
      <c r="W85" s="47"/>
      <c r="X85" s="147"/>
      <c r="Y85" s="78"/>
      <c r="Z85" s="47"/>
      <c r="AA85" s="47"/>
      <c r="AB85" s="47"/>
      <c r="AC85" s="47"/>
      <c r="AD85" s="78"/>
      <c r="AE85" s="90" t="str">
        <f>IF(C85&lt;&gt;"",HYPERLINK(CONCATENATE(SheetName01,"\",Knives[[#This Row],[Manufacturer]],IF(Knives[[#This Row],[Model]]&lt;&gt;""," "&amp;Knives[[#This Row],[Model]],),".jpg"),CONCATENATE(Knives[[#This Row],[Manufacturer]],IF(Knives[[#This Row],[Model]]&lt;&gt;""," "&amp;Knives[[#This Row],[Model]],),".jpg")),"")</f>
        <v/>
      </c>
      <c r="AG85" s="5" t="str">
        <f t="shared" si="3"/>
        <v/>
      </c>
    </row>
    <row r="86" spans="2:33" x14ac:dyDescent="0.25">
      <c r="B86" s="80" t="str">
        <f t="shared" si="2"/>
        <v/>
      </c>
      <c r="C86" s="78"/>
      <c r="D86" s="78"/>
      <c r="E86" s="78"/>
      <c r="F86" s="47"/>
      <c r="G86" s="47"/>
      <c r="H86" s="47"/>
      <c r="I86" s="47"/>
      <c r="J86" s="47"/>
      <c r="K86" s="44"/>
      <c r="L86" s="47"/>
      <c r="M86" s="47"/>
      <c r="N86" s="47"/>
      <c r="O86" s="47"/>
      <c r="P86" s="78"/>
      <c r="Q86" s="44"/>
      <c r="R86" s="78"/>
      <c r="S86" s="47"/>
      <c r="T86" s="47"/>
      <c r="U86" s="111"/>
      <c r="V86" s="47"/>
      <c r="W86" s="47"/>
      <c r="X86" s="147"/>
      <c r="Y86" s="78"/>
      <c r="Z86" s="47"/>
      <c r="AA86" s="47"/>
      <c r="AB86" s="47"/>
      <c r="AC86" s="47"/>
      <c r="AD86" s="78"/>
      <c r="AE86" s="90" t="str">
        <f>IF(C86&lt;&gt;"",HYPERLINK(CONCATENATE(SheetName01,"\",Knives[[#This Row],[Manufacturer]],IF(Knives[[#This Row],[Model]]&lt;&gt;""," "&amp;Knives[[#This Row],[Model]],),".jpg"),CONCATENATE(Knives[[#This Row],[Manufacturer]],IF(Knives[[#This Row],[Model]]&lt;&gt;""," "&amp;Knives[[#This Row],[Model]],),".jpg")),"")</f>
        <v/>
      </c>
      <c r="AG86" s="5" t="str">
        <f t="shared" si="3"/>
        <v/>
      </c>
    </row>
    <row r="87" spans="2:33" x14ac:dyDescent="0.25">
      <c r="B87" s="80" t="str">
        <f t="shared" si="2"/>
        <v/>
      </c>
      <c r="C87" s="78"/>
      <c r="D87" s="78"/>
      <c r="E87" s="78"/>
      <c r="F87" s="47"/>
      <c r="G87" s="47"/>
      <c r="H87" s="47"/>
      <c r="I87" s="47"/>
      <c r="J87" s="47"/>
      <c r="K87" s="44"/>
      <c r="L87" s="47"/>
      <c r="M87" s="47"/>
      <c r="N87" s="47"/>
      <c r="O87" s="47"/>
      <c r="P87" s="78"/>
      <c r="Q87" s="44"/>
      <c r="R87" s="78"/>
      <c r="S87" s="47"/>
      <c r="T87" s="47"/>
      <c r="U87" s="111"/>
      <c r="V87" s="47"/>
      <c r="W87" s="47"/>
      <c r="X87" s="147"/>
      <c r="Y87" s="78"/>
      <c r="Z87" s="47"/>
      <c r="AA87" s="47"/>
      <c r="AB87" s="47"/>
      <c r="AC87" s="47"/>
      <c r="AD87" s="78"/>
      <c r="AE87" s="90" t="str">
        <f>IF(C87&lt;&gt;"",HYPERLINK(CONCATENATE(SheetName01,"\",Knives[[#This Row],[Manufacturer]],IF(Knives[[#This Row],[Model]]&lt;&gt;""," "&amp;Knives[[#This Row],[Model]],),".jpg"),CONCATENATE(Knives[[#This Row],[Manufacturer]],IF(Knives[[#This Row],[Model]]&lt;&gt;""," "&amp;Knives[[#This Row],[Model]],),".jpg")),"")</f>
        <v/>
      </c>
      <c r="AG87" s="5" t="str">
        <f t="shared" si="3"/>
        <v/>
      </c>
    </row>
    <row r="88" spans="2:33" x14ac:dyDescent="0.25">
      <c r="B88" s="80" t="str">
        <f t="shared" si="2"/>
        <v/>
      </c>
      <c r="C88" s="78"/>
      <c r="D88" s="78"/>
      <c r="E88" s="78"/>
      <c r="F88" s="47"/>
      <c r="G88" s="47"/>
      <c r="H88" s="47"/>
      <c r="I88" s="47"/>
      <c r="J88" s="47"/>
      <c r="K88" s="44"/>
      <c r="L88" s="47"/>
      <c r="M88" s="47"/>
      <c r="N88" s="47"/>
      <c r="O88" s="47"/>
      <c r="P88" s="78"/>
      <c r="Q88" s="44"/>
      <c r="R88" s="78"/>
      <c r="S88" s="47"/>
      <c r="T88" s="47"/>
      <c r="U88" s="111"/>
      <c r="V88" s="47"/>
      <c r="W88" s="47"/>
      <c r="X88" s="147"/>
      <c r="Y88" s="78"/>
      <c r="Z88" s="47"/>
      <c r="AA88" s="47"/>
      <c r="AB88" s="47"/>
      <c r="AC88" s="47"/>
      <c r="AD88" s="78"/>
      <c r="AE88" s="90" t="str">
        <f>IF(C88&lt;&gt;"",HYPERLINK(CONCATENATE(SheetName01,"\",Knives[[#This Row],[Manufacturer]],IF(Knives[[#This Row],[Model]]&lt;&gt;""," "&amp;Knives[[#This Row],[Model]],),".jpg"),CONCATENATE(Knives[[#This Row],[Manufacturer]],IF(Knives[[#This Row],[Model]]&lt;&gt;""," "&amp;Knives[[#This Row],[Model]],),".jpg")),"")</f>
        <v/>
      </c>
      <c r="AG88" s="5" t="str">
        <f t="shared" si="3"/>
        <v/>
      </c>
    </row>
    <row r="89" spans="2:33" x14ac:dyDescent="0.25">
      <c r="B89" s="80" t="str">
        <f t="shared" si="2"/>
        <v/>
      </c>
      <c r="C89" s="78"/>
      <c r="D89" s="78"/>
      <c r="E89" s="78"/>
      <c r="F89" s="47"/>
      <c r="G89" s="47"/>
      <c r="H89" s="47"/>
      <c r="I89" s="47"/>
      <c r="J89" s="47"/>
      <c r="K89" s="44"/>
      <c r="L89" s="47"/>
      <c r="M89" s="47"/>
      <c r="N89" s="47"/>
      <c r="O89" s="47"/>
      <c r="P89" s="78"/>
      <c r="Q89" s="44"/>
      <c r="R89" s="78"/>
      <c r="S89" s="47"/>
      <c r="T89" s="47"/>
      <c r="U89" s="111"/>
      <c r="V89" s="47"/>
      <c r="W89" s="47"/>
      <c r="X89" s="147"/>
      <c r="Y89" s="78"/>
      <c r="Z89" s="47"/>
      <c r="AA89" s="47"/>
      <c r="AB89" s="47"/>
      <c r="AC89" s="47"/>
      <c r="AD89" s="78"/>
      <c r="AE89" s="90" t="str">
        <f>IF(C89&lt;&gt;"",HYPERLINK(CONCATENATE(SheetName01,"\",Knives[[#This Row],[Manufacturer]],IF(Knives[[#This Row],[Model]]&lt;&gt;""," "&amp;Knives[[#This Row],[Model]],),".jpg"),CONCATENATE(Knives[[#This Row],[Manufacturer]],IF(Knives[[#This Row],[Model]]&lt;&gt;""," "&amp;Knives[[#This Row],[Model]],),".jpg")),"")</f>
        <v/>
      </c>
      <c r="AG89" s="5" t="str">
        <f t="shared" si="3"/>
        <v/>
      </c>
    </row>
    <row r="90" spans="2:33" x14ac:dyDescent="0.25">
      <c r="B90" s="80" t="str">
        <f t="shared" si="2"/>
        <v/>
      </c>
      <c r="C90" s="78"/>
      <c r="D90" s="78"/>
      <c r="E90" s="78"/>
      <c r="F90" s="47"/>
      <c r="G90" s="47"/>
      <c r="H90" s="47"/>
      <c r="I90" s="47"/>
      <c r="J90" s="47"/>
      <c r="K90" s="44"/>
      <c r="L90" s="47"/>
      <c r="M90" s="47"/>
      <c r="N90" s="47"/>
      <c r="O90" s="47"/>
      <c r="P90" s="78"/>
      <c r="Q90" s="44"/>
      <c r="R90" s="78"/>
      <c r="S90" s="47"/>
      <c r="T90" s="47"/>
      <c r="U90" s="111"/>
      <c r="V90" s="47"/>
      <c r="W90" s="47"/>
      <c r="X90" s="147"/>
      <c r="Y90" s="78"/>
      <c r="Z90" s="47"/>
      <c r="AA90" s="47"/>
      <c r="AB90" s="47"/>
      <c r="AC90" s="47"/>
      <c r="AD90" s="78"/>
      <c r="AE90" s="90" t="str">
        <f>IF(C90&lt;&gt;"",HYPERLINK(CONCATENATE(SheetName01,"\",Knives[[#This Row],[Manufacturer]],IF(Knives[[#This Row],[Model]]&lt;&gt;""," "&amp;Knives[[#This Row],[Model]],),".jpg"),CONCATENATE(Knives[[#This Row],[Manufacturer]],IF(Knives[[#This Row],[Model]]&lt;&gt;""," "&amp;Knives[[#This Row],[Model]],),".jpg")),"")</f>
        <v/>
      </c>
      <c r="AG90" s="5" t="str">
        <f t="shared" si="3"/>
        <v/>
      </c>
    </row>
    <row r="91" spans="2:33" x14ac:dyDescent="0.25">
      <c r="B91" s="80" t="str">
        <f t="shared" si="2"/>
        <v/>
      </c>
      <c r="C91" s="78"/>
      <c r="D91" s="78"/>
      <c r="E91" s="78"/>
      <c r="F91" s="47"/>
      <c r="G91" s="47"/>
      <c r="H91" s="47"/>
      <c r="I91" s="47"/>
      <c r="J91" s="47"/>
      <c r="K91" s="44"/>
      <c r="L91" s="47"/>
      <c r="M91" s="47"/>
      <c r="N91" s="47"/>
      <c r="O91" s="47"/>
      <c r="P91" s="78"/>
      <c r="Q91" s="44"/>
      <c r="R91" s="78"/>
      <c r="S91" s="47"/>
      <c r="T91" s="47"/>
      <c r="U91" s="111"/>
      <c r="V91" s="47"/>
      <c r="W91" s="47"/>
      <c r="X91" s="147"/>
      <c r="Y91" s="78"/>
      <c r="Z91" s="47"/>
      <c r="AA91" s="47"/>
      <c r="AB91" s="47"/>
      <c r="AC91" s="47"/>
      <c r="AD91" s="78"/>
      <c r="AE91" s="90" t="str">
        <f>IF(C91&lt;&gt;"",HYPERLINK(CONCATENATE(SheetName01,"\",Knives[[#This Row],[Manufacturer]],IF(Knives[[#This Row],[Model]]&lt;&gt;""," "&amp;Knives[[#This Row],[Model]],),".jpg"),CONCATENATE(Knives[[#This Row],[Manufacturer]],IF(Knives[[#This Row],[Model]]&lt;&gt;""," "&amp;Knives[[#This Row],[Model]],),".jpg")),"")</f>
        <v/>
      </c>
      <c r="AG91" s="5" t="str">
        <f t="shared" si="3"/>
        <v/>
      </c>
    </row>
    <row r="92" spans="2:33" x14ac:dyDescent="0.25">
      <c r="B92" s="80" t="str">
        <f t="shared" si="2"/>
        <v/>
      </c>
      <c r="C92" s="78"/>
      <c r="D92" s="78"/>
      <c r="E92" s="78"/>
      <c r="F92" s="47"/>
      <c r="G92" s="47"/>
      <c r="H92" s="47"/>
      <c r="I92" s="47"/>
      <c r="J92" s="47"/>
      <c r="K92" s="44"/>
      <c r="L92" s="47"/>
      <c r="M92" s="47"/>
      <c r="N92" s="47"/>
      <c r="O92" s="47"/>
      <c r="P92" s="78"/>
      <c r="Q92" s="44"/>
      <c r="R92" s="78"/>
      <c r="S92" s="47"/>
      <c r="T92" s="47"/>
      <c r="U92" s="111"/>
      <c r="V92" s="47"/>
      <c r="W92" s="47"/>
      <c r="X92" s="147"/>
      <c r="Y92" s="78"/>
      <c r="Z92" s="47"/>
      <c r="AA92" s="47"/>
      <c r="AB92" s="47"/>
      <c r="AC92" s="47"/>
      <c r="AD92" s="78"/>
      <c r="AE92" s="90" t="str">
        <f>IF(C92&lt;&gt;"",HYPERLINK(CONCATENATE(SheetName01,"\",Knives[[#This Row],[Manufacturer]],IF(Knives[[#This Row],[Model]]&lt;&gt;""," "&amp;Knives[[#This Row],[Model]],),".jpg"),CONCATENATE(Knives[[#This Row],[Manufacturer]],IF(Knives[[#This Row],[Model]]&lt;&gt;""," "&amp;Knives[[#This Row],[Model]],),".jpg")),"")</f>
        <v/>
      </c>
      <c r="AG92" s="5" t="str">
        <f t="shared" si="3"/>
        <v/>
      </c>
    </row>
    <row r="93" spans="2:33" x14ac:dyDescent="0.25">
      <c r="B93" s="80" t="str">
        <f t="shared" si="2"/>
        <v/>
      </c>
      <c r="C93" s="78"/>
      <c r="D93" s="78"/>
      <c r="E93" s="78"/>
      <c r="F93" s="47"/>
      <c r="G93" s="47"/>
      <c r="H93" s="47"/>
      <c r="I93" s="47"/>
      <c r="J93" s="47"/>
      <c r="K93" s="44"/>
      <c r="L93" s="47"/>
      <c r="M93" s="47"/>
      <c r="N93" s="47"/>
      <c r="O93" s="47"/>
      <c r="P93" s="78"/>
      <c r="Q93" s="44"/>
      <c r="R93" s="78"/>
      <c r="S93" s="47"/>
      <c r="T93" s="47"/>
      <c r="U93" s="111"/>
      <c r="V93" s="47"/>
      <c r="W93" s="47"/>
      <c r="X93" s="147"/>
      <c r="Y93" s="78"/>
      <c r="Z93" s="47"/>
      <c r="AA93" s="47"/>
      <c r="AB93" s="47"/>
      <c r="AC93" s="47"/>
      <c r="AD93" s="78"/>
      <c r="AE93" s="90" t="str">
        <f>IF(C93&lt;&gt;"",HYPERLINK(CONCATENATE(SheetName01,"\",Knives[[#This Row],[Manufacturer]],IF(Knives[[#This Row],[Model]]&lt;&gt;""," "&amp;Knives[[#This Row],[Model]],),".jpg"),CONCATENATE(Knives[[#This Row],[Manufacturer]],IF(Knives[[#This Row],[Model]]&lt;&gt;""," "&amp;Knives[[#This Row],[Model]],),".jpg")),"")</f>
        <v/>
      </c>
      <c r="AG93" s="5" t="str">
        <f t="shared" si="3"/>
        <v/>
      </c>
    </row>
    <row r="94" spans="2:33" x14ac:dyDescent="0.25">
      <c r="B94" s="80" t="str">
        <f t="shared" si="2"/>
        <v/>
      </c>
      <c r="C94" s="78"/>
      <c r="D94" s="78"/>
      <c r="E94" s="78"/>
      <c r="F94" s="47"/>
      <c r="G94" s="47"/>
      <c r="H94" s="47"/>
      <c r="I94" s="47"/>
      <c r="J94" s="47"/>
      <c r="K94" s="44"/>
      <c r="L94" s="47"/>
      <c r="M94" s="47"/>
      <c r="N94" s="47"/>
      <c r="O94" s="47"/>
      <c r="P94" s="78"/>
      <c r="Q94" s="44"/>
      <c r="R94" s="78"/>
      <c r="S94" s="47"/>
      <c r="T94" s="47"/>
      <c r="U94" s="111"/>
      <c r="V94" s="47"/>
      <c r="W94" s="47"/>
      <c r="X94" s="147"/>
      <c r="Y94" s="78"/>
      <c r="Z94" s="47"/>
      <c r="AA94" s="47"/>
      <c r="AB94" s="47"/>
      <c r="AC94" s="47"/>
      <c r="AD94" s="78"/>
      <c r="AE94" s="90" t="str">
        <f>IF(C94&lt;&gt;"",HYPERLINK(CONCATENATE(SheetName01,"\",Knives[[#This Row],[Manufacturer]],IF(Knives[[#This Row],[Model]]&lt;&gt;""," "&amp;Knives[[#This Row],[Model]],),".jpg"),CONCATENATE(Knives[[#This Row],[Manufacturer]],IF(Knives[[#This Row],[Model]]&lt;&gt;""," "&amp;Knives[[#This Row],[Model]],),".jpg")),"")</f>
        <v/>
      </c>
      <c r="AG94" s="5" t="str">
        <f t="shared" si="3"/>
        <v/>
      </c>
    </row>
    <row r="95" spans="2:33" x14ac:dyDescent="0.25">
      <c r="B95" s="80" t="str">
        <f t="shared" si="2"/>
        <v/>
      </c>
      <c r="C95" s="78"/>
      <c r="D95" s="78"/>
      <c r="E95" s="78"/>
      <c r="F95" s="47"/>
      <c r="G95" s="47"/>
      <c r="H95" s="47"/>
      <c r="I95" s="47"/>
      <c r="J95" s="47"/>
      <c r="K95" s="44"/>
      <c r="L95" s="47"/>
      <c r="M95" s="47"/>
      <c r="N95" s="47"/>
      <c r="O95" s="47"/>
      <c r="P95" s="78"/>
      <c r="Q95" s="44"/>
      <c r="R95" s="78"/>
      <c r="S95" s="47"/>
      <c r="T95" s="47"/>
      <c r="U95" s="111"/>
      <c r="V95" s="47"/>
      <c r="W95" s="47"/>
      <c r="X95" s="147"/>
      <c r="Y95" s="78"/>
      <c r="Z95" s="47"/>
      <c r="AA95" s="47"/>
      <c r="AB95" s="47"/>
      <c r="AC95" s="47"/>
      <c r="AD95" s="78"/>
      <c r="AE95" s="90" t="str">
        <f>IF(C95&lt;&gt;"",HYPERLINK(CONCATENATE(SheetName01,"\",Knives[[#This Row],[Manufacturer]],IF(Knives[[#This Row],[Model]]&lt;&gt;""," "&amp;Knives[[#This Row],[Model]],),".jpg"),CONCATENATE(Knives[[#This Row],[Manufacturer]],IF(Knives[[#This Row],[Model]]&lt;&gt;""," "&amp;Knives[[#This Row],[Model]],),".jpg")),"")</f>
        <v/>
      </c>
      <c r="AG95" s="5" t="str">
        <f t="shared" si="3"/>
        <v/>
      </c>
    </row>
    <row r="96" spans="2:33" x14ac:dyDescent="0.25">
      <c r="B96" s="80" t="str">
        <f t="shared" si="2"/>
        <v/>
      </c>
      <c r="C96" s="78"/>
      <c r="D96" s="78"/>
      <c r="E96" s="78"/>
      <c r="F96" s="47"/>
      <c r="G96" s="47"/>
      <c r="H96" s="47"/>
      <c r="I96" s="47"/>
      <c r="J96" s="47"/>
      <c r="K96" s="44"/>
      <c r="L96" s="47"/>
      <c r="M96" s="47"/>
      <c r="N96" s="47"/>
      <c r="O96" s="47"/>
      <c r="P96" s="78"/>
      <c r="Q96" s="44"/>
      <c r="R96" s="78"/>
      <c r="S96" s="47"/>
      <c r="T96" s="47"/>
      <c r="U96" s="111"/>
      <c r="V96" s="47"/>
      <c r="W96" s="47"/>
      <c r="X96" s="147"/>
      <c r="Y96" s="78"/>
      <c r="Z96" s="47"/>
      <c r="AA96" s="47"/>
      <c r="AB96" s="47"/>
      <c r="AC96" s="47"/>
      <c r="AD96" s="78"/>
      <c r="AE96" s="90" t="str">
        <f>IF(C96&lt;&gt;"",HYPERLINK(CONCATENATE(SheetName01,"\",Knives[[#This Row],[Manufacturer]],IF(Knives[[#This Row],[Model]]&lt;&gt;""," "&amp;Knives[[#This Row],[Model]],),".jpg"),CONCATENATE(Knives[[#This Row],[Manufacturer]],IF(Knives[[#This Row],[Model]]&lt;&gt;""," "&amp;Knives[[#This Row],[Model]],),".jpg")),"")</f>
        <v/>
      </c>
      <c r="AG96" s="5" t="str">
        <f t="shared" si="3"/>
        <v/>
      </c>
    </row>
    <row r="97" spans="2:33" x14ac:dyDescent="0.25">
      <c r="B97" s="80" t="str">
        <f t="shared" si="2"/>
        <v/>
      </c>
      <c r="C97" s="78"/>
      <c r="D97" s="78"/>
      <c r="E97" s="78"/>
      <c r="F97" s="47"/>
      <c r="G97" s="47"/>
      <c r="H97" s="47"/>
      <c r="I97" s="47"/>
      <c r="J97" s="47"/>
      <c r="K97" s="44"/>
      <c r="L97" s="47"/>
      <c r="M97" s="47"/>
      <c r="N97" s="47"/>
      <c r="O97" s="47"/>
      <c r="P97" s="78"/>
      <c r="Q97" s="44"/>
      <c r="R97" s="78"/>
      <c r="S97" s="47"/>
      <c r="T97" s="47"/>
      <c r="U97" s="111"/>
      <c r="V97" s="47"/>
      <c r="W97" s="47"/>
      <c r="X97" s="147"/>
      <c r="Y97" s="78"/>
      <c r="Z97" s="47"/>
      <c r="AA97" s="47"/>
      <c r="AB97" s="47"/>
      <c r="AC97" s="47"/>
      <c r="AD97" s="78"/>
      <c r="AE97" s="90" t="str">
        <f>IF(C97&lt;&gt;"",HYPERLINK(CONCATENATE(SheetName01,"\",Knives[[#This Row],[Manufacturer]],IF(Knives[[#This Row],[Model]]&lt;&gt;""," "&amp;Knives[[#This Row],[Model]],),".jpg"),CONCATENATE(Knives[[#This Row],[Manufacturer]],IF(Knives[[#This Row],[Model]]&lt;&gt;""," "&amp;Knives[[#This Row],[Model]],),".jpg")),"")</f>
        <v/>
      </c>
      <c r="AG97" s="5" t="str">
        <f t="shared" si="3"/>
        <v/>
      </c>
    </row>
    <row r="98" spans="2:33" x14ac:dyDescent="0.25">
      <c r="B98" s="80" t="str">
        <f t="shared" si="2"/>
        <v/>
      </c>
      <c r="C98" s="78"/>
      <c r="D98" s="78"/>
      <c r="E98" s="78"/>
      <c r="F98" s="47"/>
      <c r="G98" s="47"/>
      <c r="H98" s="47"/>
      <c r="I98" s="47"/>
      <c r="J98" s="47"/>
      <c r="K98" s="44"/>
      <c r="L98" s="47"/>
      <c r="M98" s="47"/>
      <c r="N98" s="47"/>
      <c r="O98" s="47"/>
      <c r="P98" s="78"/>
      <c r="Q98" s="44"/>
      <c r="R98" s="78"/>
      <c r="S98" s="47"/>
      <c r="T98" s="47"/>
      <c r="U98" s="111"/>
      <c r="V98" s="47"/>
      <c r="W98" s="47"/>
      <c r="X98" s="147"/>
      <c r="Y98" s="78"/>
      <c r="Z98" s="47"/>
      <c r="AA98" s="47"/>
      <c r="AB98" s="47"/>
      <c r="AC98" s="47"/>
      <c r="AD98" s="78"/>
      <c r="AE98" s="90" t="str">
        <f>IF(C98&lt;&gt;"",HYPERLINK(CONCATENATE(SheetName01,"\",Knives[[#This Row],[Manufacturer]],IF(Knives[[#This Row],[Model]]&lt;&gt;""," "&amp;Knives[[#This Row],[Model]],),".jpg"),CONCATENATE(Knives[[#This Row],[Manufacturer]],IF(Knives[[#This Row],[Model]]&lt;&gt;""," "&amp;Knives[[#This Row],[Model]],),".jpg")),"")</f>
        <v/>
      </c>
      <c r="AG98" s="5" t="str">
        <f t="shared" si="3"/>
        <v/>
      </c>
    </row>
    <row r="99" spans="2:33" x14ac:dyDescent="0.25">
      <c r="B99" s="80" t="str">
        <f t="shared" si="2"/>
        <v/>
      </c>
      <c r="C99" s="78"/>
      <c r="D99" s="78"/>
      <c r="E99" s="78"/>
      <c r="F99" s="47"/>
      <c r="G99" s="47"/>
      <c r="H99" s="47"/>
      <c r="I99" s="47"/>
      <c r="J99" s="47"/>
      <c r="K99" s="44"/>
      <c r="L99" s="47"/>
      <c r="M99" s="47"/>
      <c r="N99" s="47"/>
      <c r="O99" s="47"/>
      <c r="P99" s="78"/>
      <c r="Q99" s="44"/>
      <c r="R99" s="78"/>
      <c r="S99" s="47"/>
      <c r="T99" s="47"/>
      <c r="U99" s="111"/>
      <c r="V99" s="47"/>
      <c r="W99" s="47"/>
      <c r="X99" s="147"/>
      <c r="Y99" s="78"/>
      <c r="Z99" s="47"/>
      <c r="AA99" s="47"/>
      <c r="AB99" s="47"/>
      <c r="AC99" s="47"/>
      <c r="AD99" s="78"/>
      <c r="AE99" s="90" t="str">
        <f>IF(C99&lt;&gt;"",HYPERLINK(CONCATENATE(SheetName01,"\",Knives[[#This Row],[Manufacturer]],IF(Knives[[#This Row],[Model]]&lt;&gt;""," "&amp;Knives[[#This Row],[Model]],),".jpg"),CONCATENATE(Knives[[#This Row],[Manufacturer]],IF(Knives[[#This Row],[Model]]&lt;&gt;""," "&amp;Knives[[#This Row],[Model]],),".jpg")),"")</f>
        <v/>
      </c>
      <c r="AG99" s="5" t="str">
        <f t="shared" si="3"/>
        <v/>
      </c>
    </row>
    <row r="100" spans="2:33" x14ac:dyDescent="0.25">
      <c r="B100" s="80" t="str">
        <f t="shared" si="2"/>
        <v/>
      </c>
      <c r="C100" s="78"/>
      <c r="D100" s="78"/>
      <c r="E100" s="78"/>
      <c r="F100" s="47"/>
      <c r="G100" s="47"/>
      <c r="H100" s="47"/>
      <c r="I100" s="47"/>
      <c r="J100" s="47"/>
      <c r="K100" s="44"/>
      <c r="L100" s="47"/>
      <c r="M100" s="47"/>
      <c r="N100" s="47"/>
      <c r="O100" s="47"/>
      <c r="P100" s="78"/>
      <c r="Q100" s="44"/>
      <c r="R100" s="78"/>
      <c r="S100" s="47"/>
      <c r="T100" s="47"/>
      <c r="U100" s="111"/>
      <c r="V100" s="47"/>
      <c r="W100" s="47"/>
      <c r="X100" s="147"/>
      <c r="Y100" s="78"/>
      <c r="Z100" s="47"/>
      <c r="AA100" s="47"/>
      <c r="AB100" s="47"/>
      <c r="AC100" s="47"/>
      <c r="AD100" s="78"/>
      <c r="AE100" s="90" t="str">
        <f>IF(C100&lt;&gt;"",HYPERLINK(CONCATENATE(SheetName01,"\",Knives[[#This Row],[Manufacturer]],IF(Knives[[#This Row],[Model]]&lt;&gt;""," "&amp;Knives[[#This Row],[Model]],),".jpg"),CONCATENATE(Knives[[#This Row],[Manufacturer]],IF(Knives[[#This Row],[Model]]&lt;&gt;""," "&amp;Knives[[#This Row],[Model]],),".jpg")),"")</f>
        <v/>
      </c>
      <c r="AG100" s="5" t="str">
        <f t="shared" si="3"/>
        <v/>
      </c>
    </row>
    <row r="101" spans="2:33" x14ac:dyDescent="0.25">
      <c r="B101" s="80" t="str">
        <f t="shared" si="2"/>
        <v/>
      </c>
      <c r="C101" s="78"/>
      <c r="D101" s="78"/>
      <c r="E101" s="78"/>
      <c r="F101" s="47"/>
      <c r="G101" s="47"/>
      <c r="H101" s="47"/>
      <c r="I101" s="47"/>
      <c r="J101" s="47"/>
      <c r="K101" s="44"/>
      <c r="L101" s="47"/>
      <c r="M101" s="47"/>
      <c r="N101" s="47"/>
      <c r="O101" s="47"/>
      <c r="P101" s="78"/>
      <c r="Q101" s="44"/>
      <c r="R101" s="78"/>
      <c r="S101" s="47"/>
      <c r="T101" s="47"/>
      <c r="U101" s="111"/>
      <c r="V101" s="47"/>
      <c r="W101" s="47"/>
      <c r="X101" s="147"/>
      <c r="Y101" s="78"/>
      <c r="Z101" s="47"/>
      <c r="AA101" s="47"/>
      <c r="AB101" s="47"/>
      <c r="AC101" s="47"/>
      <c r="AD101" s="78"/>
      <c r="AE101" s="90" t="str">
        <f>IF(C101&lt;&gt;"",HYPERLINK(CONCATENATE(SheetName01,"\",Knives[[#This Row],[Manufacturer]],IF(Knives[[#This Row],[Model]]&lt;&gt;""," "&amp;Knives[[#This Row],[Model]],),".jpg"),CONCATENATE(Knives[[#This Row],[Manufacturer]],IF(Knives[[#This Row],[Model]]&lt;&gt;""," "&amp;Knives[[#This Row],[Model]],),".jpg")),"")</f>
        <v/>
      </c>
      <c r="AG101" s="5" t="str">
        <f t="shared" si="3"/>
        <v/>
      </c>
    </row>
    <row r="102" spans="2:33" x14ac:dyDescent="0.25">
      <c r="B102" s="80" t="str">
        <f t="shared" si="2"/>
        <v/>
      </c>
      <c r="C102" s="78"/>
      <c r="D102" s="78"/>
      <c r="E102" s="78"/>
      <c r="F102" s="47"/>
      <c r="G102" s="47"/>
      <c r="H102" s="47"/>
      <c r="I102" s="47"/>
      <c r="J102" s="47"/>
      <c r="K102" s="44"/>
      <c r="L102" s="47"/>
      <c r="M102" s="47"/>
      <c r="N102" s="47"/>
      <c r="O102" s="47"/>
      <c r="P102" s="78"/>
      <c r="Q102" s="44"/>
      <c r="R102" s="78"/>
      <c r="S102" s="47"/>
      <c r="T102" s="47"/>
      <c r="U102" s="111"/>
      <c r="V102" s="47"/>
      <c r="W102" s="47"/>
      <c r="X102" s="147"/>
      <c r="Y102" s="78"/>
      <c r="Z102" s="47"/>
      <c r="AA102" s="47"/>
      <c r="AB102" s="47"/>
      <c r="AC102" s="47"/>
      <c r="AD102" s="78"/>
      <c r="AE102" s="90" t="str">
        <f>IF(C102&lt;&gt;"",HYPERLINK(CONCATENATE(SheetName01,"\",Knives[[#This Row],[Manufacturer]],IF(Knives[[#This Row],[Model]]&lt;&gt;""," "&amp;Knives[[#This Row],[Model]],),".jpg"),CONCATENATE(Knives[[#This Row],[Manufacturer]],IF(Knives[[#This Row],[Model]]&lt;&gt;""," "&amp;Knives[[#This Row],[Model]],),".jpg")),"")</f>
        <v/>
      </c>
      <c r="AG102" s="5" t="str">
        <f t="shared" si="3"/>
        <v/>
      </c>
    </row>
    <row r="103" spans="2:33" x14ac:dyDescent="0.25">
      <c r="B103" s="80" t="str">
        <f t="shared" si="2"/>
        <v/>
      </c>
      <c r="C103" s="78"/>
      <c r="D103" s="78"/>
      <c r="E103" s="78"/>
      <c r="F103" s="47"/>
      <c r="G103" s="47"/>
      <c r="H103" s="47"/>
      <c r="I103" s="47"/>
      <c r="J103" s="47"/>
      <c r="K103" s="44"/>
      <c r="L103" s="47"/>
      <c r="M103" s="47"/>
      <c r="N103" s="47"/>
      <c r="O103" s="47"/>
      <c r="P103" s="78"/>
      <c r="Q103" s="44"/>
      <c r="R103" s="78"/>
      <c r="S103" s="47"/>
      <c r="T103" s="47"/>
      <c r="U103" s="111"/>
      <c r="V103" s="47"/>
      <c r="W103" s="47"/>
      <c r="X103" s="147"/>
      <c r="Y103" s="78"/>
      <c r="Z103" s="47"/>
      <c r="AA103" s="47"/>
      <c r="AB103" s="47"/>
      <c r="AC103" s="47"/>
      <c r="AD103" s="78"/>
      <c r="AE103" s="90" t="str">
        <f>IF(C103&lt;&gt;"",HYPERLINK(CONCATENATE(SheetName01,"\",Knives[[#This Row],[Manufacturer]],IF(Knives[[#This Row],[Model]]&lt;&gt;""," "&amp;Knives[[#This Row],[Model]],),".jpg"),CONCATENATE(Knives[[#This Row],[Manufacturer]],IF(Knives[[#This Row],[Model]]&lt;&gt;""," "&amp;Knives[[#This Row],[Model]],),".jpg")),"")</f>
        <v/>
      </c>
      <c r="AG103" s="5" t="str">
        <f t="shared" si="3"/>
        <v/>
      </c>
    </row>
    <row r="104" spans="2:33" x14ac:dyDescent="0.25">
      <c r="B104" s="80" t="str">
        <f t="shared" si="2"/>
        <v/>
      </c>
      <c r="C104" s="78"/>
      <c r="D104" s="78"/>
      <c r="E104" s="78"/>
      <c r="F104" s="47"/>
      <c r="G104" s="47"/>
      <c r="H104" s="47"/>
      <c r="I104" s="47"/>
      <c r="J104" s="47"/>
      <c r="K104" s="44"/>
      <c r="L104" s="47"/>
      <c r="M104" s="47"/>
      <c r="N104" s="47"/>
      <c r="O104" s="47"/>
      <c r="P104" s="78"/>
      <c r="Q104" s="44"/>
      <c r="R104" s="78"/>
      <c r="S104" s="47"/>
      <c r="T104" s="47"/>
      <c r="U104" s="111"/>
      <c r="V104" s="47"/>
      <c r="W104" s="47"/>
      <c r="X104" s="147"/>
      <c r="Y104" s="78"/>
      <c r="Z104" s="47"/>
      <c r="AA104" s="47"/>
      <c r="AB104" s="47"/>
      <c r="AC104" s="47"/>
      <c r="AD104" s="78"/>
      <c r="AE104" s="90" t="str">
        <f>IF(C104&lt;&gt;"",HYPERLINK(CONCATENATE(SheetName01,"\",Knives[[#This Row],[Manufacturer]],IF(Knives[[#This Row],[Model]]&lt;&gt;""," "&amp;Knives[[#This Row],[Model]],),".jpg"),CONCATENATE(Knives[[#This Row],[Manufacturer]],IF(Knives[[#This Row],[Model]]&lt;&gt;""," "&amp;Knives[[#This Row],[Model]],),".jpg")),"")</f>
        <v/>
      </c>
      <c r="AG104" s="5" t="str">
        <f t="shared" si="3"/>
        <v/>
      </c>
    </row>
    <row r="105" spans="2:33" x14ac:dyDescent="0.25">
      <c r="B105" s="80" t="str">
        <f t="shared" si="2"/>
        <v/>
      </c>
      <c r="C105" s="78"/>
      <c r="D105" s="78"/>
      <c r="E105" s="78"/>
      <c r="F105" s="47"/>
      <c r="G105" s="47"/>
      <c r="H105" s="47"/>
      <c r="I105" s="47"/>
      <c r="J105" s="47"/>
      <c r="K105" s="44"/>
      <c r="L105" s="47"/>
      <c r="M105" s="47"/>
      <c r="N105" s="47"/>
      <c r="O105" s="47"/>
      <c r="P105" s="78"/>
      <c r="Q105" s="44"/>
      <c r="R105" s="78"/>
      <c r="S105" s="47"/>
      <c r="T105" s="47"/>
      <c r="U105" s="111"/>
      <c r="V105" s="47"/>
      <c r="W105" s="47"/>
      <c r="X105" s="147"/>
      <c r="Y105" s="78"/>
      <c r="Z105" s="47"/>
      <c r="AA105" s="47"/>
      <c r="AB105" s="47"/>
      <c r="AC105" s="47"/>
      <c r="AD105" s="78"/>
      <c r="AE105" s="90" t="str">
        <f>IF(C105&lt;&gt;"",HYPERLINK(CONCATENATE(SheetName01,"\",Knives[[#This Row],[Manufacturer]],IF(Knives[[#This Row],[Model]]&lt;&gt;""," "&amp;Knives[[#This Row],[Model]],),".jpg"),CONCATENATE(Knives[[#This Row],[Manufacturer]],IF(Knives[[#This Row],[Model]]&lt;&gt;""," "&amp;Knives[[#This Row],[Model]],),".jpg")),"")</f>
        <v/>
      </c>
      <c r="AG105" s="5" t="str">
        <f t="shared" si="3"/>
        <v/>
      </c>
    </row>
    <row r="106" spans="2:33" x14ac:dyDescent="0.25">
      <c r="B106" s="80" t="str">
        <f t="shared" si="2"/>
        <v/>
      </c>
      <c r="C106" s="78"/>
      <c r="D106" s="78"/>
      <c r="E106" s="78"/>
      <c r="F106" s="47"/>
      <c r="G106" s="47"/>
      <c r="H106" s="47"/>
      <c r="I106" s="47"/>
      <c r="J106" s="47"/>
      <c r="K106" s="44"/>
      <c r="L106" s="47"/>
      <c r="M106" s="47"/>
      <c r="N106" s="47"/>
      <c r="O106" s="47"/>
      <c r="P106" s="78"/>
      <c r="Q106" s="44"/>
      <c r="R106" s="78"/>
      <c r="S106" s="47"/>
      <c r="T106" s="47"/>
      <c r="U106" s="111"/>
      <c r="V106" s="47"/>
      <c r="W106" s="47"/>
      <c r="X106" s="147"/>
      <c r="Y106" s="78"/>
      <c r="Z106" s="47"/>
      <c r="AA106" s="47"/>
      <c r="AB106" s="47"/>
      <c r="AC106" s="47"/>
      <c r="AD106" s="78"/>
      <c r="AE106" s="90" t="str">
        <f>IF(C106&lt;&gt;"",HYPERLINK(CONCATENATE(SheetName01,"\",Knives[[#This Row],[Manufacturer]],IF(Knives[[#This Row],[Model]]&lt;&gt;""," "&amp;Knives[[#This Row],[Model]],),".jpg"),CONCATENATE(Knives[[#This Row],[Manufacturer]],IF(Knives[[#This Row],[Model]]&lt;&gt;""," "&amp;Knives[[#This Row],[Model]],),".jpg")),"")</f>
        <v/>
      </c>
      <c r="AG106" s="5" t="str">
        <f t="shared" si="3"/>
        <v/>
      </c>
    </row>
    <row r="107" spans="2:33" x14ac:dyDescent="0.25">
      <c r="B107" s="80" t="str">
        <f t="shared" si="2"/>
        <v/>
      </c>
      <c r="C107" s="78"/>
      <c r="D107" s="78"/>
      <c r="E107" s="78"/>
      <c r="F107" s="47"/>
      <c r="G107" s="47"/>
      <c r="H107" s="47"/>
      <c r="I107" s="47"/>
      <c r="J107" s="47"/>
      <c r="K107" s="44"/>
      <c r="L107" s="47"/>
      <c r="M107" s="47"/>
      <c r="N107" s="47"/>
      <c r="O107" s="47"/>
      <c r="P107" s="78"/>
      <c r="Q107" s="44"/>
      <c r="R107" s="78"/>
      <c r="S107" s="47"/>
      <c r="T107" s="47"/>
      <c r="U107" s="111"/>
      <c r="V107" s="47"/>
      <c r="W107" s="47"/>
      <c r="X107" s="147"/>
      <c r="Y107" s="78"/>
      <c r="Z107" s="47"/>
      <c r="AA107" s="47"/>
      <c r="AB107" s="47"/>
      <c r="AC107" s="47"/>
      <c r="AD107" s="78"/>
      <c r="AE107" s="90" t="str">
        <f>IF(C107&lt;&gt;"",HYPERLINK(CONCATENATE(SheetName01,"\",Knives[[#This Row],[Manufacturer]],IF(Knives[[#This Row],[Model]]&lt;&gt;""," "&amp;Knives[[#This Row],[Model]],),".jpg"),CONCATENATE(Knives[[#This Row],[Manufacturer]],IF(Knives[[#This Row],[Model]]&lt;&gt;""," "&amp;Knives[[#This Row],[Model]],),".jpg")),"")</f>
        <v/>
      </c>
      <c r="AG107" s="5" t="str">
        <f t="shared" si="3"/>
        <v/>
      </c>
    </row>
    <row r="108" spans="2:33" x14ac:dyDescent="0.25">
      <c r="B108" s="80" t="str">
        <f t="shared" si="2"/>
        <v/>
      </c>
      <c r="C108" s="78"/>
      <c r="D108" s="78"/>
      <c r="E108" s="78"/>
      <c r="F108" s="47"/>
      <c r="G108" s="47"/>
      <c r="H108" s="47"/>
      <c r="I108" s="47"/>
      <c r="J108" s="47"/>
      <c r="K108" s="44"/>
      <c r="L108" s="47"/>
      <c r="M108" s="47"/>
      <c r="N108" s="47"/>
      <c r="O108" s="47"/>
      <c r="P108" s="78"/>
      <c r="Q108" s="44"/>
      <c r="R108" s="78"/>
      <c r="S108" s="47"/>
      <c r="T108" s="47"/>
      <c r="U108" s="111"/>
      <c r="V108" s="47"/>
      <c r="W108" s="47"/>
      <c r="X108" s="147"/>
      <c r="Y108" s="78"/>
      <c r="Z108" s="47"/>
      <c r="AA108" s="47"/>
      <c r="AB108" s="47"/>
      <c r="AC108" s="47"/>
      <c r="AD108" s="78"/>
      <c r="AE108" s="90" t="str">
        <f>IF(C108&lt;&gt;"",HYPERLINK(CONCATENATE(SheetName01,"\",Knives[[#This Row],[Manufacturer]],IF(Knives[[#This Row],[Model]]&lt;&gt;""," "&amp;Knives[[#This Row],[Model]],),".jpg"),CONCATENATE(Knives[[#This Row],[Manufacturer]],IF(Knives[[#This Row],[Model]]&lt;&gt;""," "&amp;Knives[[#This Row],[Model]],),".jpg")),"")</f>
        <v/>
      </c>
      <c r="AG108" s="5" t="str">
        <f t="shared" si="3"/>
        <v/>
      </c>
    </row>
    <row r="109" spans="2:33" x14ac:dyDescent="0.25">
      <c r="B109" s="80" t="str">
        <f t="shared" si="2"/>
        <v/>
      </c>
      <c r="C109" s="78"/>
      <c r="D109" s="78"/>
      <c r="E109" s="78"/>
      <c r="F109" s="47"/>
      <c r="G109" s="47"/>
      <c r="H109" s="47"/>
      <c r="I109" s="47"/>
      <c r="J109" s="47"/>
      <c r="K109" s="44"/>
      <c r="L109" s="47"/>
      <c r="M109" s="47"/>
      <c r="N109" s="47"/>
      <c r="O109" s="47"/>
      <c r="P109" s="78"/>
      <c r="Q109" s="44"/>
      <c r="R109" s="78"/>
      <c r="S109" s="47"/>
      <c r="T109" s="47"/>
      <c r="U109" s="111"/>
      <c r="V109" s="47"/>
      <c r="W109" s="47"/>
      <c r="X109" s="147"/>
      <c r="Y109" s="78"/>
      <c r="Z109" s="47"/>
      <c r="AA109" s="47"/>
      <c r="AB109" s="47"/>
      <c r="AC109" s="47"/>
      <c r="AD109" s="78"/>
      <c r="AE109" s="90" t="str">
        <f>IF(C109&lt;&gt;"",HYPERLINK(CONCATENATE(SheetName01,"\",Knives[[#This Row],[Manufacturer]],IF(Knives[[#This Row],[Model]]&lt;&gt;""," "&amp;Knives[[#This Row],[Model]],),".jpg"),CONCATENATE(Knives[[#This Row],[Manufacturer]],IF(Knives[[#This Row],[Model]]&lt;&gt;""," "&amp;Knives[[#This Row],[Model]],),".jpg")),"")</f>
        <v/>
      </c>
      <c r="AG109" s="5" t="str">
        <f t="shared" si="3"/>
        <v/>
      </c>
    </row>
    <row r="110" spans="2:33" x14ac:dyDescent="0.25">
      <c r="B110" s="80" t="str">
        <f t="shared" si="2"/>
        <v/>
      </c>
      <c r="C110" s="78"/>
      <c r="D110" s="78"/>
      <c r="E110" s="78"/>
      <c r="F110" s="47"/>
      <c r="G110" s="47"/>
      <c r="H110" s="47"/>
      <c r="I110" s="47"/>
      <c r="J110" s="47"/>
      <c r="K110" s="44"/>
      <c r="L110" s="47"/>
      <c r="M110" s="47"/>
      <c r="N110" s="47"/>
      <c r="O110" s="47"/>
      <c r="P110" s="78"/>
      <c r="Q110" s="44"/>
      <c r="R110" s="78"/>
      <c r="S110" s="47"/>
      <c r="T110" s="47"/>
      <c r="U110" s="111"/>
      <c r="V110" s="47"/>
      <c r="W110" s="47"/>
      <c r="X110" s="147"/>
      <c r="Y110" s="78"/>
      <c r="Z110" s="47"/>
      <c r="AA110" s="47"/>
      <c r="AB110" s="47"/>
      <c r="AC110" s="47"/>
      <c r="AD110" s="78"/>
      <c r="AE110" s="90" t="str">
        <f>IF(C110&lt;&gt;"",HYPERLINK(CONCATENATE(SheetName01,"\",Knives[[#This Row],[Manufacturer]],IF(Knives[[#This Row],[Model]]&lt;&gt;""," "&amp;Knives[[#This Row],[Model]],),".jpg"),CONCATENATE(Knives[[#This Row],[Manufacturer]],IF(Knives[[#This Row],[Model]]&lt;&gt;""," "&amp;Knives[[#This Row],[Model]],),".jpg")),"")</f>
        <v/>
      </c>
      <c r="AG110" s="5" t="str">
        <f t="shared" si="3"/>
        <v/>
      </c>
    </row>
    <row r="111" spans="2:33" x14ac:dyDescent="0.25">
      <c r="B111" s="80" t="str">
        <f t="shared" si="2"/>
        <v/>
      </c>
      <c r="C111" s="78"/>
      <c r="D111" s="78"/>
      <c r="E111" s="78"/>
      <c r="F111" s="47"/>
      <c r="G111" s="47"/>
      <c r="H111" s="47"/>
      <c r="I111" s="47"/>
      <c r="J111" s="47"/>
      <c r="K111" s="44"/>
      <c r="L111" s="47"/>
      <c r="M111" s="47"/>
      <c r="N111" s="47"/>
      <c r="O111" s="47"/>
      <c r="P111" s="78"/>
      <c r="Q111" s="44"/>
      <c r="R111" s="78"/>
      <c r="S111" s="47"/>
      <c r="T111" s="47"/>
      <c r="U111" s="111"/>
      <c r="V111" s="47"/>
      <c r="W111" s="47"/>
      <c r="X111" s="147"/>
      <c r="Y111" s="78"/>
      <c r="Z111" s="47"/>
      <c r="AA111" s="47"/>
      <c r="AB111" s="47"/>
      <c r="AC111" s="47"/>
      <c r="AD111" s="78"/>
      <c r="AE111" s="90" t="str">
        <f>IF(C111&lt;&gt;"",HYPERLINK(CONCATENATE(SheetName01,"\",Knives[[#This Row],[Manufacturer]],IF(Knives[[#This Row],[Model]]&lt;&gt;""," "&amp;Knives[[#This Row],[Model]],),".jpg"),CONCATENATE(Knives[[#This Row],[Manufacturer]],IF(Knives[[#This Row],[Model]]&lt;&gt;""," "&amp;Knives[[#This Row],[Model]],),".jpg")),"")</f>
        <v/>
      </c>
      <c r="AG111" s="5" t="str">
        <f t="shared" si="3"/>
        <v/>
      </c>
    </row>
    <row r="112" spans="2:33" x14ac:dyDescent="0.25">
      <c r="B112" s="80" t="str">
        <f t="shared" si="2"/>
        <v/>
      </c>
      <c r="C112" s="78"/>
      <c r="D112" s="78"/>
      <c r="E112" s="78"/>
      <c r="F112" s="47"/>
      <c r="G112" s="47"/>
      <c r="H112" s="47"/>
      <c r="I112" s="47"/>
      <c r="J112" s="47"/>
      <c r="K112" s="44"/>
      <c r="L112" s="47"/>
      <c r="M112" s="47"/>
      <c r="N112" s="47"/>
      <c r="O112" s="47"/>
      <c r="P112" s="78"/>
      <c r="Q112" s="44"/>
      <c r="R112" s="78"/>
      <c r="S112" s="47"/>
      <c r="T112" s="47"/>
      <c r="U112" s="111"/>
      <c r="V112" s="47"/>
      <c r="W112" s="47"/>
      <c r="X112" s="147"/>
      <c r="Y112" s="78"/>
      <c r="Z112" s="47"/>
      <c r="AA112" s="47"/>
      <c r="AB112" s="47"/>
      <c r="AC112" s="47"/>
      <c r="AD112" s="78"/>
      <c r="AE112" s="90" t="str">
        <f>IF(C112&lt;&gt;"",HYPERLINK(CONCATENATE(SheetName01,"\",Knives[[#This Row],[Manufacturer]],IF(Knives[[#This Row],[Model]]&lt;&gt;""," "&amp;Knives[[#This Row],[Model]],),".jpg"),CONCATENATE(Knives[[#This Row],[Manufacturer]],IF(Knives[[#This Row],[Model]]&lt;&gt;""," "&amp;Knives[[#This Row],[Model]],),".jpg")),"")</f>
        <v/>
      </c>
      <c r="AG112" s="5" t="str">
        <f t="shared" si="3"/>
        <v/>
      </c>
    </row>
    <row r="113" spans="2:33" x14ac:dyDescent="0.25">
      <c r="B113" s="80" t="str">
        <f t="shared" si="2"/>
        <v/>
      </c>
      <c r="C113" s="78"/>
      <c r="D113" s="78"/>
      <c r="E113" s="78"/>
      <c r="F113" s="47"/>
      <c r="G113" s="47"/>
      <c r="H113" s="47"/>
      <c r="I113" s="47"/>
      <c r="J113" s="47"/>
      <c r="K113" s="44"/>
      <c r="L113" s="47"/>
      <c r="M113" s="47"/>
      <c r="N113" s="47"/>
      <c r="O113" s="47"/>
      <c r="P113" s="78"/>
      <c r="Q113" s="44"/>
      <c r="R113" s="78"/>
      <c r="S113" s="47"/>
      <c r="T113" s="47"/>
      <c r="U113" s="111"/>
      <c r="V113" s="47"/>
      <c r="W113" s="47"/>
      <c r="X113" s="147"/>
      <c r="Y113" s="78"/>
      <c r="Z113" s="47"/>
      <c r="AA113" s="47"/>
      <c r="AB113" s="47"/>
      <c r="AC113" s="47"/>
      <c r="AD113" s="78"/>
      <c r="AE113" s="90" t="str">
        <f>IF(C113&lt;&gt;"",HYPERLINK(CONCATENATE(SheetName01,"\",Knives[[#This Row],[Manufacturer]],IF(Knives[[#This Row],[Model]]&lt;&gt;""," "&amp;Knives[[#This Row],[Model]],),".jpg"),CONCATENATE(Knives[[#This Row],[Manufacturer]],IF(Knives[[#This Row],[Model]]&lt;&gt;""," "&amp;Knives[[#This Row],[Model]],),".jpg")),"")</f>
        <v/>
      </c>
      <c r="AG113" s="5" t="str">
        <f t="shared" si="3"/>
        <v/>
      </c>
    </row>
    <row r="114" spans="2:33" x14ac:dyDescent="0.25">
      <c r="B114" s="80" t="str">
        <f t="shared" si="2"/>
        <v/>
      </c>
      <c r="C114" s="78"/>
      <c r="D114" s="78"/>
      <c r="E114" s="78"/>
      <c r="F114" s="47"/>
      <c r="G114" s="47"/>
      <c r="H114" s="47"/>
      <c r="I114" s="47"/>
      <c r="J114" s="47"/>
      <c r="K114" s="44"/>
      <c r="L114" s="47"/>
      <c r="M114" s="47"/>
      <c r="N114" s="47"/>
      <c r="O114" s="47"/>
      <c r="P114" s="78"/>
      <c r="Q114" s="44"/>
      <c r="R114" s="78"/>
      <c r="S114" s="47"/>
      <c r="T114" s="47"/>
      <c r="U114" s="111"/>
      <c r="V114" s="47"/>
      <c r="W114" s="47"/>
      <c r="X114" s="147"/>
      <c r="Y114" s="78"/>
      <c r="Z114" s="47"/>
      <c r="AA114" s="47"/>
      <c r="AB114" s="47"/>
      <c r="AC114" s="47"/>
      <c r="AD114" s="78"/>
      <c r="AE114" s="90" t="str">
        <f>IF(C114&lt;&gt;"",HYPERLINK(CONCATENATE(SheetName01,"\",Knives[[#This Row],[Manufacturer]],IF(Knives[[#This Row],[Model]]&lt;&gt;""," "&amp;Knives[[#This Row],[Model]],),".jpg"),CONCATENATE(Knives[[#This Row],[Manufacturer]],IF(Knives[[#This Row],[Model]]&lt;&gt;""," "&amp;Knives[[#This Row],[Model]],),".jpg")),"")</f>
        <v/>
      </c>
      <c r="AG114" s="5" t="str">
        <f t="shared" si="3"/>
        <v/>
      </c>
    </row>
    <row r="115" spans="2:33" x14ac:dyDescent="0.25">
      <c r="B115" s="80" t="str">
        <f t="shared" si="2"/>
        <v/>
      </c>
      <c r="C115" s="78"/>
      <c r="D115" s="78"/>
      <c r="E115" s="78"/>
      <c r="F115" s="47"/>
      <c r="G115" s="47"/>
      <c r="H115" s="47"/>
      <c r="I115" s="47"/>
      <c r="J115" s="47"/>
      <c r="K115" s="44"/>
      <c r="L115" s="47"/>
      <c r="M115" s="47"/>
      <c r="N115" s="47"/>
      <c r="O115" s="47"/>
      <c r="P115" s="78"/>
      <c r="Q115" s="44"/>
      <c r="R115" s="78"/>
      <c r="S115" s="47"/>
      <c r="T115" s="47"/>
      <c r="U115" s="111"/>
      <c r="V115" s="47"/>
      <c r="W115" s="47"/>
      <c r="X115" s="147"/>
      <c r="Y115" s="78"/>
      <c r="Z115" s="47"/>
      <c r="AA115" s="47"/>
      <c r="AB115" s="47"/>
      <c r="AC115" s="47"/>
      <c r="AD115" s="78"/>
      <c r="AE115" s="90" t="str">
        <f>IF(C115&lt;&gt;"",HYPERLINK(CONCATENATE(SheetName01,"\",Knives[[#This Row],[Manufacturer]],IF(Knives[[#This Row],[Model]]&lt;&gt;""," "&amp;Knives[[#This Row],[Model]],),".jpg"),CONCATENATE(Knives[[#This Row],[Manufacturer]],IF(Knives[[#This Row],[Model]]&lt;&gt;""," "&amp;Knives[[#This Row],[Model]],),".jpg")),"")</f>
        <v/>
      </c>
      <c r="AG115" s="5" t="str">
        <f t="shared" si="3"/>
        <v/>
      </c>
    </row>
    <row r="116" spans="2:33" x14ac:dyDescent="0.25">
      <c r="B116" s="80" t="str">
        <f t="shared" si="2"/>
        <v/>
      </c>
      <c r="C116" s="78"/>
      <c r="D116" s="78"/>
      <c r="E116" s="78"/>
      <c r="F116" s="47"/>
      <c r="G116" s="47"/>
      <c r="H116" s="47"/>
      <c r="I116" s="47"/>
      <c r="J116" s="47"/>
      <c r="K116" s="44"/>
      <c r="L116" s="47"/>
      <c r="M116" s="47"/>
      <c r="N116" s="47"/>
      <c r="O116" s="47"/>
      <c r="P116" s="78"/>
      <c r="Q116" s="44"/>
      <c r="R116" s="78"/>
      <c r="S116" s="47"/>
      <c r="T116" s="47"/>
      <c r="U116" s="111"/>
      <c r="V116" s="47"/>
      <c r="W116" s="47"/>
      <c r="X116" s="147"/>
      <c r="Y116" s="78"/>
      <c r="Z116" s="47"/>
      <c r="AA116" s="47"/>
      <c r="AB116" s="47"/>
      <c r="AC116" s="47"/>
      <c r="AD116" s="78"/>
      <c r="AE116" s="90" t="str">
        <f>IF(C116&lt;&gt;"",HYPERLINK(CONCATENATE(SheetName01,"\",Knives[[#This Row],[Manufacturer]],IF(Knives[[#This Row],[Model]]&lt;&gt;""," "&amp;Knives[[#This Row],[Model]],),".jpg"),CONCATENATE(Knives[[#This Row],[Manufacturer]],IF(Knives[[#This Row],[Model]]&lt;&gt;""," "&amp;Knives[[#This Row],[Model]],),".jpg")),"")</f>
        <v/>
      </c>
      <c r="AG116" s="5" t="str">
        <f t="shared" si="3"/>
        <v/>
      </c>
    </row>
    <row r="117" spans="2:33" x14ac:dyDescent="0.25">
      <c r="B117" s="80" t="str">
        <f t="shared" si="2"/>
        <v/>
      </c>
      <c r="C117" s="78"/>
      <c r="D117" s="78"/>
      <c r="E117" s="78"/>
      <c r="F117" s="47"/>
      <c r="G117" s="47"/>
      <c r="H117" s="47"/>
      <c r="I117" s="47"/>
      <c r="J117" s="47"/>
      <c r="K117" s="44"/>
      <c r="L117" s="47"/>
      <c r="M117" s="47"/>
      <c r="N117" s="47"/>
      <c r="O117" s="47"/>
      <c r="P117" s="78"/>
      <c r="Q117" s="44"/>
      <c r="R117" s="78"/>
      <c r="S117" s="47"/>
      <c r="T117" s="47"/>
      <c r="U117" s="111"/>
      <c r="V117" s="47"/>
      <c r="W117" s="47"/>
      <c r="X117" s="147"/>
      <c r="Y117" s="78"/>
      <c r="Z117" s="47"/>
      <c r="AA117" s="47"/>
      <c r="AB117" s="47"/>
      <c r="AC117" s="47"/>
      <c r="AD117" s="78"/>
      <c r="AE117" s="90" t="str">
        <f>IF(C117&lt;&gt;"",HYPERLINK(CONCATENATE(SheetName01,"\",Knives[[#This Row],[Manufacturer]],IF(Knives[[#This Row],[Model]]&lt;&gt;""," "&amp;Knives[[#This Row],[Model]],),".jpg"),CONCATENATE(Knives[[#This Row],[Manufacturer]],IF(Knives[[#This Row],[Model]]&lt;&gt;""," "&amp;Knives[[#This Row],[Model]],),".jpg")),"")</f>
        <v/>
      </c>
      <c r="AG117" s="5" t="str">
        <f t="shared" si="3"/>
        <v/>
      </c>
    </row>
    <row r="118" spans="2:33" x14ac:dyDescent="0.25">
      <c r="B118" s="80" t="str">
        <f t="shared" si="2"/>
        <v/>
      </c>
      <c r="C118" s="78"/>
      <c r="D118" s="78"/>
      <c r="E118" s="78"/>
      <c r="F118" s="47"/>
      <c r="G118" s="47"/>
      <c r="H118" s="47"/>
      <c r="I118" s="47"/>
      <c r="J118" s="47"/>
      <c r="K118" s="44"/>
      <c r="L118" s="47"/>
      <c r="M118" s="47"/>
      <c r="N118" s="47"/>
      <c r="O118" s="47"/>
      <c r="P118" s="78"/>
      <c r="Q118" s="44"/>
      <c r="R118" s="78"/>
      <c r="S118" s="47"/>
      <c r="T118" s="47"/>
      <c r="U118" s="111"/>
      <c r="V118" s="47"/>
      <c r="W118" s="47"/>
      <c r="X118" s="147"/>
      <c r="Y118" s="78"/>
      <c r="Z118" s="47"/>
      <c r="AA118" s="47"/>
      <c r="AB118" s="47"/>
      <c r="AC118" s="47"/>
      <c r="AD118" s="78"/>
      <c r="AE118" s="90" t="str">
        <f>IF(C118&lt;&gt;"",HYPERLINK(CONCATENATE(SheetName01,"\",Knives[[#This Row],[Manufacturer]],IF(Knives[[#This Row],[Model]]&lt;&gt;""," "&amp;Knives[[#This Row],[Model]],),".jpg"),CONCATENATE(Knives[[#This Row],[Manufacturer]],IF(Knives[[#This Row],[Model]]&lt;&gt;""," "&amp;Knives[[#This Row],[Model]],),".jpg")),"")</f>
        <v/>
      </c>
      <c r="AG118" s="5" t="str">
        <f t="shared" si="3"/>
        <v/>
      </c>
    </row>
    <row r="119" spans="2:33" x14ac:dyDescent="0.25">
      <c r="B119" s="80" t="str">
        <f t="shared" si="2"/>
        <v/>
      </c>
      <c r="C119" s="78"/>
      <c r="D119" s="78"/>
      <c r="E119" s="78"/>
      <c r="F119" s="47"/>
      <c r="G119" s="47"/>
      <c r="H119" s="47"/>
      <c r="I119" s="47"/>
      <c r="J119" s="47"/>
      <c r="K119" s="44"/>
      <c r="L119" s="47"/>
      <c r="M119" s="47"/>
      <c r="N119" s="47"/>
      <c r="O119" s="47"/>
      <c r="P119" s="78"/>
      <c r="Q119" s="44"/>
      <c r="R119" s="78"/>
      <c r="S119" s="47"/>
      <c r="T119" s="47"/>
      <c r="U119" s="111"/>
      <c r="V119" s="47"/>
      <c r="W119" s="47"/>
      <c r="X119" s="147"/>
      <c r="Y119" s="78"/>
      <c r="Z119" s="47"/>
      <c r="AA119" s="47"/>
      <c r="AB119" s="47"/>
      <c r="AC119" s="47"/>
      <c r="AD119" s="78"/>
      <c r="AE119" s="90" t="str">
        <f>IF(C119&lt;&gt;"",HYPERLINK(CONCATENATE(SheetName01,"\",Knives[[#This Row],[Manufacturer]],IF(Knives[[#This Row],[Model]]&lt;&gt;""," "&amp;Knives[[#This Row],[Model]],),".jpg"),CONCATENATE(Knives[[#This Row],[Manufacturer]],IF(Knives[[#This Row],[Model]]&lt;&gt;""," "&amp;Knives[[#This Row],[Model]],),".jpg")),"")</f>
        <v/>
      </c>
      <c r="AG119" s="5" t="str">
        <f t="shared" si="3"/>
        <v/>
      </c>
    </row>
    <row r="120" spans="2:33" x14ac:dyDescent="0.25">
      <c r="B120" s="80" t="str">
        <f t="shared" si="2"/>
        <v/>
      </c>
      <c r="C120" s="78"/>
      <c r="D120" s="78"/>
      <c r="E120" s="78"/>
      <c r="F120" s="47"/>
      <c r="G120" s="47"/>
      <c r="H120" s="47"/>
      <c r="I120" s="47"/>
      <c r="J120" s="47"/>
      <c r="K120" s="44"/>
      <c r="L120" s="47"/>
      <c r="M120" s="47"/>
      <c r="N120" s="47"/>
      <c r="O120" s="47"/>
      <c r="P120" s="78"/>
      <c r="Q120" s="44"/>
      <c r="R120" s="78"/>
      <c r="S120" s="47"/>
      <c r="T120" s="47"/>
      <c r="U120" s="111"/>
      <c r="V120" s="47"/>
      <c r="W120" s="47"/>
      <c r="X120" s="147"/>
      <c r="Y120" s="78"/>
      <c r="Z120" s="47"/>
      <c r="AA120" s="47"/>
      <c r="AB120" s="47"/>
      <c r="AC120" s="47"/>
      <c r="AD120" s="78"/>
      <c r="AE120" s="90" t="str">
        <f>IF(C120&lt;&gt;"",HYPERLINK(CONCATENATE(SheetName01,"\",Knives[[#This Row],[Manufacturer]],IF(Knives[[#This Row],[Model]]&lt;&gt;""," "&amp;Knives[[#This Row],[Model]],),".jpg"),CONCATENATE(Knives[[#This Row],[Manufacturer]],IF(Knives[[#This Row],[Model]]&lt;&gt;""," "&amp;Knives[[#This Row],[Model]],),".jpg")),"")</f>
        <v/>
      </c>
      <c r="AG120" s="5" t="str">
        <f t="shared" si="3"/>
        <v/>
      </c>
    </row>
    <row r="121" spans="2:33" x14ac:dyDescent="0.25">
      <c r="B121" s="80" t="str">
        <f t="shared" si="2"/>
        <v/>
      </c>
      <c r="C121" s="78"/>
      <c r="D121" s="78"/>
      <c r="E121" s="78"/>
      <c r="F121" s="47"/>
      <c r="G121" s="47"/>
      <c r="H121" s="47"/>
      <c r="I121" s="47"/>
      <c r="J121" s="47"/>
      <c r="K121" s="44"/>
      <c r="L121" s="47"/>
      <c r="M121" s="47"/>
      <c r="N121" s="47"/>
      <c r="O121" s="47"/>
      <c r="P121" s="78"/>
      <c r="Q121" s="44"/>
      <c r="R121" s="78"/>
      <c r="S121" s="47"/>
      <c r="T121" s="47"/>
      <c r="U121" s="111"/>
      <c r="V121" s="47"/>
      <c r="W121" s="47"/>
      <c r="X121" s="147"/>
      <c r="Y121" s="78"/>
      <c r="Z121" s="47"/>
      <c r="AA121" s="47"/>
      <c r="AB121" s="47"/>
      <c r="AC121" s="47"/>
      <c r="AD121" s="78"/>
      <c r="AE121" s="90" t="str">
        <f>IF(C121&lt;&gt;"",HYPERLINK(CONCATENATE(SheetName01,"\",Knives[[#This Row],[Manufacturer]],IF(Knives[[#This Row],[Model]]&lt;&gt;""," "&amp;Knives[[#This Row],[Model]],),".jpg"),CONCATENATE(Knives[[#This Row],[Manufacturer]],IF(Knives[[#This Row],[Model]]&lt;&gt;""," "&amp;Knives[[#This Row],[Model]],),".jpg")),"")</f>
        <v/>
      </c>
      <c r="AG121" s="5" t="str">
        <f t="shared" si="3"/>
        <v/>
      </c>
    </row>
    <row r="122" spans="2:33" x14ac:dyDescent="0.25">
      <c r="B122" s="80" t="str">
        <f t="shared" si="2"/>
        <v/>
      </c>
      <c r="C122" s="78"/>
      <c r="D122" s="78"/>
      <c r="E122" s="78"/>
      <c r="F122" s="47"/>
      <c r="G122" s="47"/>
      <c r="H122" s="47"/>
      <c r="I122" s="47"/>
      <c r="J122" s="47"/>
      <c r="K122" s="44"/>
      <c r="L122" s="47"/>
      <c r="M122" s="47"/>
      <c r="N122" s="47"/>
      <c r="O122" s="47"/>
      <c r="P122" s="78"/>
      <c r="Q122" s="44"/>
      <c r="R122" s="78"/>
      <c r="S122" s="47"/>
      <c r="T122" s="47"/>
      <c r="U122" s="111"/>
      <c r="V122" s="47"/>
      <c r="W122" s="47"/>
      <c r="X122" s="147"/>
      <c r="Y122" s="78"/>
      <c r="Z122" s="47"/>
      <c r="AA122" s="47"/>
      <c r="AB122" s="47"/>
      <c r="AC122" s="47"/>
      <c r="AD122" s="78"/>
      <c r="AE122" s="90" t="str">
        <f>IF(C122&lt;&gt;"",HYPERLINK(CONCATENATE(SheetName01,"\",Knives[[#This Row],[Manufacturer]],IF(Knives[[#This Row],[Model]]&lt;&gt;""," "&amp;Knives[[#This Row],[Model]],),".jpg"),CONCATENATE(Knives[[#This Row],[Manufacturer]],IF(Knives[[#This Row],[Model]]&lt;&gt;""," "&amp;Knives[[#This Row],[Model]],),".jpg")),"")</f>
        <v/>
      </c>
      <c r="AG122" s="5" t="str">
        <f t="shared" si="3"/>
        <v/>
      </c>
    </row>
    <row r="123" spans="2:33" x14ac:dyDescent="0.25">
      <c r="B123" s="80" t="str">
        <f t="shared" si="2"/>
        <v/>
      </c>
      <c r="C123" s="78"/>
      <c r="D123" s="78"/>
      <c r="E123" s="78"/>
      <c r="F123" s="47"/>
      <c r="G123" s="47"/>
      <c r="H123" s="47"/>
      <c r="I123" s="47"/>
      <c r="J123" s="47"/>
      <c r="K123" s="44"/>
      <c r="L123" s="47"/>
      <c r="M123" s="47"/>
      <c r="N123" s="47"/>
      <c r="O123" s="47"/>
      <c r="P123" s="78"/>
      <c r="Q123" s="44"/>
      <c r="R123" s="78"/>
      <c r="S123" s="47"/>
      <c r="T123" s="47"/>
      <c r="U123" s="111"/>
      <c r="V123" s="47"/>
      <c r="W123" s="47"/>
      <c r="X123" s="147"/>
      <c r="Y123" s="78"/>
      <c r="Z123" s="47"/>
      <c r="AA123" s="47"/>
      <c r="AB123" s="47"/>
      <c r="AC123" s="47"/>
      <c r="AD123" s="78"/>
      <c r="AE123" s="90" t="str">
        <f>IF(C123&lt;&gt;"",HYPERLINK(CONCATENATE(SheetName01,"\",Knives[[#This Row],[Manufacturer]],IF(Knives[[#This Row],[Model]]&lt;&gt;""," "&amp;Knives[[#This Row],[Model]],),".jpg"),CONCATENATE(Knives[[#This Row],[Manufacturer]],IF(Knives[[#This Row],[Model]]&lt;&gt;""," "&amp;Knives[[#This Row],[Model]],),".jpg")),"")</f>
        <v/>
      </c>
      <c r="AG123" s="5" t="str">
        <f t="shared" si="3"/>
        <v/>
      </c>
    </row>
    <row r="124" spans="2:33" x14ac:dyDescent="0.25">
      <c r="B124" s="80" t="str">
        <f t="shared" si="2"/>
        <v/>
      </c>
      <c r="C124" s="78"/>
      <c r="D124" s="78"/>
      <c r="E124" s="78"/>
      <c r="F124" s="47"/>
      <c r="G124" s="47"/>
      <c r="H124" s="47"/>
      <c r="I124" s="47"/>
      <c r="J124" s="47"/>
      <c r="K124" s="44"/>
      <c r="L124" s="47"/>
      <c r="M124" s="47"/>
      <c r="N124" s="47"/>
      <c r="O124" s="47"/>
      <c r="P124" s="78"/>
      <c r="Q124" s="44"/>
      <c r="R124" s="78"/>
      <c r="S124" s="47"/>
      <c r="T124" s="47"/>
      <c r="U124" s="111"/>
      <c r="V124" s="47"/>
      <c r="W124" s="47"/>
      <c r="X124" s="147"/>
      <c r="Y124" s="78"/>
      <c r="Z124" s="47"/>
      <c r="AA124" s="47"/>
      <c r="AB124" s="47"/>
      <c r="AC124" s="47"/>
      <c r="AD124" s="78"/>
      <c r="AE124" s="90" t="str">
        <f>IF(C124&lt;&gt;"",HYPERLINK(CONCATENATE(SheetName01,"\",Knives[[#This Row],[Manufacturer]],IF(Knives[[#This Row],[Model]]&lt;&gt;""," "&amp;Knives[[#This Row],[Model]],),".jpg"),CONCATENATE(Knives[[#This Row],[Manufacturer]],IF(Knives[[#This Row],[Model]]&lt;&gt;""," "&amp;Knives[[#This Row],[Model]],),".jpg")),"")</f>
        <v/>
      </c>
      <c r="AG124" s="5" t="str">
        <f t="shared" si="3"/>
        <v/>
      </c>
    </row>
    <row r="125" spans="2:33" x14ac:dyDescent="0.25">
      <c r="B125" s="80" t="str">
        <f t="shared" si="2"/>
        <v/>
      </c>
      <c r="C125" s="78"/>
      <c r="D125" s="78"/>
      <c r="E125" s="78"/>
      <c r="F125" s="47"/>
      <c r="G125" s="47"/>
      <c r="H125" s="47"/>
      <c r="I125" s="47"/>
      <c r="J125" s="47"/>
      <c r="K125" s="44"/>
      <c r="L125" s="47"/>
      <c r="M125" s="47"/>
      <c r="N125" s="47"/>
      <c r="O125" s="47"/>
      <c r="P125" s="78"/>
      <c r="Q125" s="44"/>
      <c r="R125" s="78"/>
      <c r="S125" s="47"/>
      <c r="T125" s="47"/>
      <c r="U125" s="111"/>
      <c r="V125" s="47"/>
      <c r="W125" s="47"/>
      <c r="X125" s="147"/>
      <c r="Y125" s="78"/>
      <c r="Z125" s="47"/>
      <c r="AA125" s="47"/>
      <c r="AB125" s="47"/>
      <c r="AC125" s="47"/>
      <c r="AD125" s="78"/>
      <c r="AE125" s="90" t="str">
        <f>IF(C125&lt;&gt;"",HYPERLINK(CONCATENATE(SheetName01,"\",Knives[[#This Row],[Manufacturer]],IF(Knives[[#This Row],[Model]]&lt;&gt;""," "&amp;Knives[[#This Row],[Model]],),".jpg"),CONCATENATE(Knives[[#This Row],[Manufacturer]],IF(Knives[[#This Row],[Model]]&lt;&gt;""," "&amp;Knives[[#This Row],[Model]],),".jpg")),"")</f>
        <v/>
      </c>
      <c r="AG125" s="5" t="str">
        <f t="shared" si="3"/>
        <v/>
      </c>
    </row>
    <row r="126" spans="2:33" x14ac:dyDescent="0.25">
      <c r="B126" s="80" t="str">
        <f t="shared" si="2"/>
        <v/>
      </c>
      <c r="C126" s="78"/>
      <c r="D126" s="78"/>
      <c r="E126" s="78"/>
      <c r="F126" s="47"/>
      <c r="G126" s="47"/>
      <c r="H126" s="47"/>
      <c r="I126" s="47"/>
      <c r="J126" s="47"/>
      <c r="K126" s="44"/>
      <c r="L126" s="47"/>
      <c r="M126" s="47"/>
      <c r="N126" s="47"/>
      <c r="O126" s="47"/>
      <c r="P126" s="78"/>
      <c r="Q126" s="44"/>
      <c r="R126" s="78"/>
      <c r="S126" s="47"/>
      <c r="T126" s="47"/>
      <c r="U126" s="111"/>
      <c r="V126" s="47"/>
      <c r="W126" s="47"/>
      <c r="X126" s="147"/>
      <c r="Y126" s="78"/>
      <c r="Z126" s="47"/>
      <c r="AA126" s="47"/>
      <c r="AB126" s="47"/>
      <c r="AC126" s="47"/>
      <c r="AD126" s="78"/>
      <c r="AE126" s="90" t="str">
        <f>IF(C126&lt;&gt;"",HYPERLINK(CONCATENATE(SheetName01,"\",Knives[[#This Row],[Manufacturer]],IF(Knives[[#This Row],[Model]]&lt;&gt;""," "&amp;Knives[[#This Row],[Model]],),".jpg"),CONCATENATE(Knives[[#This Row],[Manufacturer]],IF(Knives[[#This Row],[Model]]&lt;&gt;""," "&amp;Knives[[#This Row],[Model]],),".jpg")),"")</f>
        <v/>
      </c>
      <c r="AG126" s="5" t="str">
        <f t="shared" si="3"/>
        <v/>
      </c>
    </row>
    <row r="127" spans="2:33" x14ac:dyDescent="0.25">
      <c r="B127" s="80" t="str">
        <f t="shared" si="2"/>
        <v/>
      </c>
      <c r="C127" s="78"/>
      <c r="D127" s="78"/>
      <c r="E127" s="78"/>
      <c r="F127" s="47"/>
      <c r="G127" s="47"/>
      <c r="H127" s="47"/>
      <c r="I127" s="47"/>
      <c r="J127" s="47"/>
      <c r="K127" s="44"/>
      <c r="L127" s="47"/>
      <c r="M127" s="47"/>
      <c r="N127" s="47"/>
      <c r="O127" s="47"/>
      <c r="P127" s="78"/>
      <c r="Q127" s="44"/>
      <c r="R127" s="78"/>
      <c r="S127" s="47"/>
      <c r="T127" s="47"/>
      <c r="U127" s="111"/>
      <c r="V127" s="47"/>
      <c r="W127" s="47"/>
      <c r="X127" s="147"/>
      <c r="Y127" s="78"/>
      <c r="Z127" s="47"/>
      <c r="AA127" s="47"/>
      <c r="AB127" s="47"/>
      <c r="AC127" s="47"/>
      <c r="AD127" s="78"/>
      <c r="AE127" s="90" t="str">
        <f>IF(C127&lt;&gt;"",HYPERLINK(CONCATENATE(SheetName01,"\",Knives[[#This Row],[Manufacturer]],IF(Knives[[#This Row],[Model]]&lt;&gt;""," "&amp;Knives[[#This Row],[Model]],),".jpg"),CONCATENATE(Knives[[#This Row],[Manufacturer]],IF(Knives[[#This Row],[Model]]&lt;&gt;""," "&amp;Knives[[#This Row],[Model]],),".jpg")),"")</f>
        <v/>
      </c>
      <c r="AG127" s="5" t="str">
        <f t="shared" si="3"/>
        <v/>
      </c>
    </row>
    <row r="128" spans="2:33" x14ac:dyDescent="0.25">
      <c r="B128" s="80" t="str">
        <f t="shared" si="2"/>
        <v/>
      </c>
      <c r="C128" s="78"/>
      <c r="D128" s="78"/>
      <c r="E128" s="78"/>
      <c r="F128" s="47"/>
      <c r="G128" s="47"/>
      <c r="H128" s="47"/>
      <c r="I128" s="47"/>
      <c r="J128" s="47"/>
      <c r="K128" s="44"/>
      <c r="L128" s="47"/>
      <c r="M128" s="47"/>
      <c r="N128" s="47"/>
      <c r="O128" s="47"/>
      <c r="P128" s="78"/>
      <c r="Q128" s="44"/>
      <c r="R128" s="78"/>
      <c r="S128" s="47"/>
      <c r="T128" s="47"/>
      <c r="U128" s="111"/>
      <c r="V128" s="47"/>
      <c r="W128" s="47"/>
      <c r="X128" s="147"/>
      <c r="Y128" s="78"/>
      <c r="Z128" s="47"/>
      <c r="AA128" s="47"/>
      <c r="AB128" s="47"/>
      <c r="AC128" s="47"/>
      <c r="AD128" s="78"/>
      <c r="AE128" s="90" t="str">
        <f>IF(C128&lt;&gt;"",HYPERLINK(CONCATENATE(SheetName01,"\",Knives[[#This Row],[Manufacturer]],IF(Knives[[#This Row],[Model]]&lt;&gt;""," "&amp;Knives[[#This Row],[Model]],),".jpg"),CONCATENATE(Knives[[#This Row],[Manufacturer]],IF(Knives[[#This Row],[Model]]&lt;&gt;""," "&amp;Knives[[#This Row],[Model]],),".jpg")),"")</f>
        <v/>
      </c>
      <c r="AG128" s="5" t="str">
        <f t="shared" si="3"/>
        <v/>
      </c>
    </row>
    <row r="129" spans="2:33" x14ac:dyDescent="0.25">
      <c r="B129" s="80" t="str">
        <f t="shared" si="2"/>
        <v/>
      </c>
      <c r="C129" s="78"/>
      <c r="D129" s="78"/>
      <c r="E129" s="78"/>
      <c r="F129" s="47"/>
      <c r="G129" s="47"/>
      <c r="H129" s="47"/>
      <c r="I129" s="47"/>
      <c r="J129" s="47"/>
      <c r="K129" s="44"/>
      <c r="L129" s="47"/>
      <c r="M129" s="47"/>
      <c r="N129" s="47"/>
      <c r="O129" s="47"/>
      <c r="P129" s="78"/>
      <c r="Q129" s="44"/>
      <c r="R129" s="78"/>
      <c r="S129" s="47"/>
      <c r="T129" s="47"/>
      <c r="U129" s="111"/>
      <c r="V129" s="47"/>
      <c r="W129" s="47"/>
      <c r="X129" s="147"/>
      <c r="Y129" s="78"/>
      <c r="Z129" s="47"/>
      <c r="AA129" s="47"/>
      <c r="AB129" s="47"/>
      <c r="AC129" s="47"/>
      <c r="AD129" s="78"/>
      <c r="AE129" s="90" t="str">
        <f>IF(C129&lt;&gt;"",HYPERLINK(CONCATENATE(SheetName01,"\",Knives[[#This Row],[Manufacturer]],IF(Knives[[#This Row],[Model]]&lt;&gt;""," "&amp;Knives[[#This Row],[Model]],),".jpg"),CONCATENATE(Knives[[#This Row],[Manufacturer]],IF(Knives[[#This Row],[Model]]&lt;&gt;""," "&amp;Knives[[#This Row],[Model]],),".jpg")),"")</f>
        <v/>
      </c>
      <c r="AG129" s="5" t="str">
        <f t="shared" si="3"/>
        <v/>
      </c>
    </row>
    <row r="130" spans="2:33" x14ac:dyDescent="0.25">
      <c r="B130" s="80" t="str">
        <f t="shared" si="2"/>
        <v/>
      </c>
      <c r="C130" s="78"/>
      <c r="D130" s="78"/>
      <c r="E130" s="78"/>
      <c r="F130" s="47"/>
      <c r="G130" s="47"/>
      <c r="H130" s="47"/>
      <c r="I130" s="47"/>
      <c r="J130" s="47"/>
      <c r="K130" s="44"/>
      <c r="L130" s="47"/>
      <c r="M130" s="47"/>
      <c r="N130" s="47"/>
      <c r="O130" s="47"/>
      <c r="P130" s="78"/>
      <c r="Q130" s="44"/>
      <c r="R130" s="78"/>
      <c r="S130" s="47"/>
      <c r="T130" s="47"/>
      <c r="U130" s="111"/>
      <c r="V130" s="47"/>
      <c r="W130" s="47"/>
      <c r="X130" s="147"/>
      <c r="Y130" s="78"/>
      <c r="Z130" s="47"/>
      <c r="AA130" s="47"/>
      <c r="AB130" s="47"/>
      <c r="AC130" s="47"/>
      <c r="AD130" s="78"/>
      <c r="AE130" s="90" t="str">
        <f>IF(C130&lt;&gt;"",HYPERLINK(CONCATENATE(SheetName01,"\",Knives[[#This Row],[Manufacturer]],IF(Knives[[#This Row],[Model]]&lt;&gt;""," "&amp;Knives[[#This Row],[Model]],),".jpg"),CONCATENATE(Knives[[#This Row],[Manufacturer]],IF(Knives[[#This Row],[Model]]&lt;&gt;""," "&amp;Knives[[#This Row],[Model]],),".jpg")),"")</f>
        <v/>
      </c>
      <c r="AG130" s="5" t="str">
        <f t="shared" si="3"/>
        <v/>
      </c>
    </row>
    <row r="131" spans="2:33" x14ac:dyDescent="0.25">
      <c r="B131" s="80" t="str">
        <f t="shared" si="2"/>
        <v/>
      </c>
      <c r="C131" s="78"/>
      <c r="D131" s="78"/>
      <c r="E131" s="78"/>
      <c r="F131" s="47"/>
      <c r="G131" s="47"/>
      <c r="H131" s="47"/>
      <c r="I131" s="47"/>
      <c r="J131" s="47"/>
      <c r="K131" s="44"/>
      <c r="L131" s="47"/>
      <c r="M131" s="47"/>
      <c r="N131" s="47"/>
      <c r="O131" s="47"/>
      <c r="P131" s="78"/>
      <c r="Q131" s="44"/>
      <c r="R131" s="78"/>
      <c r="S131" s="47"/>
      <c r="T131" s="47"/>
      <c r="U131" s="111"/>
      <c r="V131" s="47"/>
      <c r="W131" s="47"/>
      <c r="X131" s="147"/>
      <c r="Y131" s="78"/>
      <c r="Z131" s="47"/>
      <c r="AA131" s="47"/>
      <c r="AB131" s="47"/>
      <c r="AC131" s="47"/>
      <c r="AD131" s="78"/>
      <c r="AE131" s="90" t="str">
        <f>IF(C131&lt;&gt;"",HYPERLINK(CONCATENATE(SheetName01,"\",Knives[[#This Row],[Manufacturer]],IF(Knives[[#This Row],[Model]]&lt;&gt;""," "&amp;Knives[[#This Row],[Model]],),".jpg"),CONCATENATE(Knives[[#This Row],[Manufacturer]],IF(Knives[[#This Row],[Model]]&lt;&gt;""," "&amp;Knives[[#This Row],[Model]],),".jpg")),"")</f>
        <v/>
      </c>
      <c r="AG131" s="5" t="str">
        <f t="shared" si="3"/>
        <v/>
      </c>
    </row>
    <row r="132" spans="2:33" x14ac:dyDescent="0.25">
      <c r="B132" s="80" t="str">
        <f t="shared" ref="B132:B195" si="4">IF(C132&lt;&gt;"",ROW(A129),"")</f>
        <v/>
      </c>
      <c r="C132" s="78"/>
      <c r="D132" s="78"/>
      <c r="E132" s="78"/>
      <c r="F132" s="47"/>
      <c r="G132" s="47"/>
      <c r="H132" s="47"/>
      <c r="I132" s="47"/>
      <c r="J132" s="47"/>
      <c r="K132" s="44"/>
      <c r="L132" s="47"/>
      <c r="M132" s="47"/>
      <c r="N132" s="47"/>
      <c r="O132" s="47"/>
      <c r="P132" s="78"/>
      <c r="Q132" s="44"/>
      <c r="R132" s="78"/>
      <c r="S132" s="47"/>
      <c r="T132" s="47"/>
      <c r="U132" s="111"/>
      <c r="V132" s="47"/>
      <c r="W132" s="47"/>
      <c r="X132" s="147"/>
      <c r="Y132" s="78"/>
      <c r="Z132" s="47"/>
      <c r="AA132" s="47"/>
      <c r="AB132" s="47"/>
      <c r="AC132" s="47"/>
      <c r="AD132" s="78"/>
      <c r="AE132" s="90" t="str">
        <f>IF(C132&lt;&gt;"",HYPERLINK(CONCATENATE(SheetName01,"\",Knives[[#This Row],[Manufacturer]],IF(Knives[[#This Row],[Model]]&lt;&gt;""," "&amp;Knives[[#This Row],[Model]],),".jpg"),CONCATENATE(Knives[[#This Row],[Manufacturer]],IF(Knives[[#This Row],[Model]]&lt;&gt;""," "&amp;Knives[[#This Row],[Model]],),".jpg")),"")</f>
        <v/>
      </c>
      <c r="AG132" s="5" t="str">
        <f t="shared" si="3"/>
        <v/>
      </c>
    </row>
    <row r="133" spans="2:33" x14ac:dyDescent="0.25">
      <c r="B133" s="80" t="str">
        <f t="shared" si="4"/>
        <v/>
      </c>
      <c r="C133" s="78"/>
      <c r="D133" s="78"/>
      <c r="E133" s="78"/>
      <c r="F133" s="47"/>
      <c r="G133" s="47"/>
      <c r="H133" s="47"/>
      <c r="I133" s="47"/>
      <c r="J133" s="47"/>
      <c r="K133" s="44"/>
      <c r="L133" s="47"/>
      <c r="M133" s="47"/>
      <c r="N133" s="47"/>
      <c r="O133" s="47"/>
      <c r="P133" s="78"/>
      <c r="Q133" s="44"/>
      <c r="R133" s="78"/>
      <c r="S133" s="47"/>
      <c r="T133" s="47"/>
      <c r="U133" s="111"/>
      <c r="V133" s="47"/>
      <c r="W133" s="47"/>
      <c r="X133" s="147"/>
      <c r="Y133" s="78"/>
      <c r="Z133" s="47"/>
      <c r="AA133" s="47"/>
      <c r="AB133" s="47"/>
      <c r="AC133" s="47"/>
      <c r="AD133" s="78"/>
      <c r="AE133" s="90" t="str">
        <f>IF(C133&lt;&gt;"",HYPERLINK(CONCATENATE(SheetName01,"\",Knives[[#This Row],[Manufacturer]],IF(Knives[[#This Row],[Model]]&lt;&gt;""," "&amp;Knives[[#This Row],[Model]],),".jpg"),CONCATENATE(Knives[[#This Row],[Manufacturer]],IF(Knives[[#This Row],[Model]]&lt;&gt;""," "&amp;Knives[[#This Row],[Model]],),".jpg")),"")</f>
        <v/>
      </c>
      <c r="AG133" s="5" t="str">
        <f t="shared" si="3"/>
        <v/>
      </c>
    </row>
    <row r="134" spans="2:33" x14ac:dyDescent="0.25">
      <c r="B134" s="80" t="str">
        <f t="shared" si="4"/>
        <v/>
      </c>
      <c r="C134" s="78"/>
      <c r="D134" s="78"/>
      <c r="E134" s="78"/>
      <c r="F134" s="47"/>
      <c r="G134" s="47"/>
      <c r="H134" s="47"/>
      <c r="I134" s="47"/>
      <c r="J134" s="47"/>
      <c r="K134" s="44"/>
      <c r="L134" s="47"/>
      <c r="M134" s="47"/>
      <c r="N134" s="47"/>
      <c r="O134" s="47"/>
      <c r="P134" s="78"/>
      <c r="Q134" s="44"/>
      <c r="R134" s="78"/>
      <c r="S134" s="47"/>
      <c r="T134" s="47"/>
      <c r="U134" s="111"/>
      <c r="V134" s="47"/>
      <c r="W134" s="47"/>
      <c r="X134" s="147"/>
      <c r="Y134" s="78"/>
      <c r="Z134" s="47"/>
      <c r="AA134" s="47"/>
      <c r="AB134" s="47"/>
      <c r="AC134" s="47"/>
      <c r="AD134" s="78"/>
      <c r="AE134" s="90" t="str">
        <f>IF(C134&lt;&gt;"",HYPERLINK(CONCATENATE(SheetName01,"\",Knives[[#This Row],[Manufacturer]],IF(Knives[[#This Row],[Model]]&lt;&gt;""," "&amp;Knives[[#This Row],[Model]],),".jpg"),CONCATENATE(Knives[[#This Row],[Manufacturer]],IF(Knives[[#This Row],[Model]]&lt;&gt;""," "&amp;Knives[[#This Row],[Model]],),".jpg")),"")</f>
        <v/>
      </c>
      <c r="AG134" s="5" t="str">
        <f t="shared" si="3"/>
        <v/>
      </c>
    </row>
    <row r="135" spans="2:33" x14ac:dyDescent="0.25">
      <c r="B135" s="80" t="str">
        <f t="shared" si="4"/>
        <v/>
      </c>
      <c r="C135" s="78"/>
      <c r="D135" s="78"/>
      <c r="E135" s="78"/>
      <c r="F135" s="47"/>
      <c r="G135" s="47"/>
      <c r="H135" s="47"/>
      <c r="I135" s="47"/>
      <c r="J135" s="47"/>
      <c r="K135" s="44"/>
      <c r="L135" s="47"/>
      <c r="M135" s="47"/>
      <c r="N135" s="47"/>
      <c r="O135" s="47"/>
      <c r="P135" s="78"/>
      <c r="Q135" s="44"/>
      <c r="R135" s="78"/>
      <c r="S135" s="47"/>
      <c r="T135" s="47"/>
      <c r="U135" s="111"/>
      <c r="V135" s="47"/>
      <c r="W135" s="47"/>
      <c r="X135" s="147"/>
      <c r="Y135" s="78"/>
      <c r="Z135" s="47"/>
      <c r="AA135" s="47"/>
      <c r="AB135" s="47"/>
      <c r="AC135" s="47"/>
      <c r="AD135" s="78"/>
      <c r="AE135" s="90" t="str">
        <f>IF(C135&lt;&gt;"",HYPERLINK(CONCATENATE(SheetName01,"\",Knives[[#This Row],[Manufacturer]],IF(Knives[[#This Row],[Model]]&lt;&gt;""," "&amp;Knives[[#This Row],[Model]],),".jpg"),CONCATENATE(Knives[[#This Row],[Manufacturer]],IF(Knives[[#This Row],[Model]]&lt;&gt;""," "&amp;Knives[[#This Row],[Model]],),".jpg")),"")</f>
        <v/>
      </c>
      <c r="AG135" s="5" t="str">
        <f t="shared" ref="AG135:AG198" si="5">IF(B135="","",(CONCATENATE(TEXT(B135,"000")," ",C135," ",D135)))</f>
        <v/>
      </c>
    </row>
    <row r="136" spans="2:33" x14ac:dyDescent="0.25">
      <c r="B136" s="80" t="str">
        <f t="shared" si="4"/>
        <v/>
      </c>
      <c r="C136" s="78"/>
      <c r="D136" s="78"/>
      <c r="E136" s="78"/>
      <c r="F136" s="47"/>
      <c r="G136" s="47"/>
      <c r="H136" s="47"/>
      <c r="I136" s="47"/>
      <c r="J136" s="47"/>
      <c r="K136" s="44"/>
      <c r="L136" s="47"/>
      <c r="M136" s="47"/>
      <c r="N136" s="47"/>
      <c r="O136" s="47"/>
      <c r="P136" s="78"/>
      <c r="Q136" s="44"/>
      <c r="R136" s="78"/>
      <c r="S136" s="47"/>
      <c r="T136" s="47"/>
      <c r="U136" s="111"/>
      <c r="V136" s="47"/>
      <c r="W136" s="47"/>
      <c r="X136" s="147"/>
      <c r="Y136" s="78"/>
      <c r="Z136" s="47"/>
      <c r="AA136" s="47"/>
      <c r="AB136" s="47"/>
      <c r="AC136" s="47"/>
      <c r="AD136" s="78"/>
      <c r="AE136" s="90" t="str">
        <f>IF(C136&lt;&gt;"",HYPERLINK(CONCATENATE(SheetName01,"\",Knives[[#This Row],[Manufacturer]],IF(Knives[[#This Row],[Model]]&lt;&gt;""," "&amp;Knives[[#This Row],[Model]],),".jpg"),CONCATENATE(Knives[[#This Row],[Manufacturer]],IF(Knives[[#This Row],[Model]]&lt;&gt;""," "&amp;Knives[[#This Row],[Model]],),".jpg")),"")</f>
        <v/>
      </c>
      <c r="AG136" s="5" t="str">
        <f t="shared" si="5"/>
        <v/>
      </c>
    </row>
    <row r="137" spans="2:33" x14ac:dyDescent="0.25">
      <c r="B137" s="80" t="str">
        <f t="shared" si="4"/>
        <v/>
      </c>
      <c r="C137" s="78"/>
      <c r="D137" s="78"/>
      <c r="E137" s="78"/>
      <c r="F137" s="47"/>
      <c r="G137" s="47"/>
      <c r="H137" s="47"/>
      <c r="I137" s="47"/>
      <c r="J137" s="47"/>
      <c r="K137" s="44"/>
      <c r="L137" s="47"/>
      <c r="M137" s="47"/>
      <c r="N137" s="47"/>
      <c r="O137" s="47"/>
      <c r="P137" s="78"/>
      <c r="Q137" s="44"/>
      <c r="R137" s="78"/>
      <c r="S137" s="47"/>
      <c r="T137" s="47"/>
      <c r="U137" s="111"/>
      <c r="V137" s="47"/>
      <c r="W137" s="47"/>
      <c r="X137" s="147"/>
      <c r="Y137" s="78"/>
      <c r="Z137" s="47"/>
      <c r="AA137" s="47"/>
      <c r="AB137" s="47"/>
      <c r="AC137" s="47"/>
      <c r="AD137" s="78"/>
      <c r="AE137" s="90" t="str">
        <f>IF(C137&lt;&gt;"",HYPERLINK(CONCATENATE(SheetName01,"\",Knives[[#This Row],[Manufacturer]],IF(Knives[[#This Row],[Model]]&lt;&gt;""," "&amp;Knives[[#This Row],[Model]],),".jpg"),CONCATENATE(Knives[[#This Row],[Manufacturer]],IF(Knives[[#This Row],[Model]]&lt;&gt;""," "&amp;Knives[[#This Row],[Model]],),".jpg")),"")</f>
        <v/>
      </c>
      <c r="AG137" s="5" t="str">
        <f t="shared" si="5"/>
        <v/>
      </c>
    </row>
    <row r="138" spans="2:33" x14ac:dyDescent="0.25">
      <c r="B138" s="80" t="str">
        <f t="shared" si="4"/>
        <v/>
      </c>
      <c r="C138" s="78"/>
      <c r="D138" s="78"/>
      <c r="E138" s="78"/>
      <c r="F138" s="47"/>
      <c r="G138" s="47"/>
      <c r="H138" s="47"/>
      <c r="I138" s="47"/>
      <c r="J138" s="47"/>
      <c r="K138" s="44"/>
      <c r="L138" s="47"/>
      <c r="M138" s="47"/>
      <c r="N138" s="47"/>
      <c r="O138" s="47"/>
      <c r="P138" s="78"/>
      <c r="Q138" s="44"/>
      <c r="R138" s="78"/>
      <c r="S138" s="47"/>
      <c r="T138" s="47"/>
      <c r="U138" s="111"/>
      <c r="V138" s="47"/>
      <c r="W138" s="47"/>
      <c r="X138" s="147"/>
      <c r="Y138" s="78"/>
      <c r="Z138" s="47"/>
      <c r="AA138" s="47"/>
      <c r="AB138" s="47"/>
      <c r="AC138" s="47"/>
      <c r="AD138" s="78"/>
      <c r="AE138" s="90" t="str">
        <f>IF(C138&lt;&gt;"",HYPERLINK(CONCATENATE(SheetName01,"\",Knives[[#This Row],[Manufacturer]],IF(Knives[[#This Row],[Model]]&lt;&gt;""," "&amp;Knives[[#This Row],[Model]],),".jpg"),CONCATENATE(Knives[[#This Row],[Manufacturer]],IF(Knives[[#This Row],[Model]]&lt;&gt;""," "&amp;Knives[[#This Row],[Model]],),".jpg")),"")</f>
        <v/>
      </c>
      <c r="AG138" s="5" t="str">
        <f t="shared" si="5"/>
        <v/>
      </c>
    </row>
    <row r="139" spans="2:33" x14ac:dyDescent="0.25">
      <c r="B139" s="80" t="str">
        <f t="shared" si="4"/>
        <v/>
      </c>
      <c r="C139" s="78"/>
      <c r="D139" s="78"/>
      <c r="E139" s="78"/>
      <c r="F139" s="47"/>
      <c r="G139" s="47"/>
      <c r="H139" s="47"/>
      <c r="I139" s="47"/>
      <c r="J139" s="47"/>
      <c r="K139" s="44"/>
      <c r="L139" s="47"/>
      <c r="M139" s="47"/>
      <c r="N139" s="47"/>
      <c r="O139" s="47"/>
      <c r="P139" s="78"/>
      <c r="Q139" s="44"/>
      <c r="R139" s="78"/>
      <c r="S139" s="47"/>
      <c r="T139" s="47"/>
      <c r="U139" s="111"/>
      <c r="V139" s="47"/>
      <c r="W139" s="47"/>
      <c r="X139" s="147"/>
      <c r="Y139" s="78"/>
      <c r="Z139" s="47"/>
      <c r="AA139" s="47"/>
      <c r="AB139" s="47"/>
      <c r="AC139" s="47"/>
      <c r="AD139" s="78"/>
      <c r="AE139" s="90" t="str">
        <f>IF(C139&lt;&gt;"",HYPERLINK(CONCATENATE(SheetName01,"\",Knives[[#This Row],[Manufacturer]],IF(Knives[[#This Row],[Model]]&lt;&gt;""," "&amp;Knives[[#This Row],[Model]],),".jpg"),CONCATENATE(Knives[[#This Row],[Manufacturer]],IF(Knives[[#This Row],[Model]]&lt;&gt;""," "&amp;Knives[[#This Row],[Model]],),".jpg")),"")</f>
        <v/>
      </c>
      <c r="AG139" s="5" t="str">
        <f t="shared" si="5"/>
        <v/>
      </c>
    </row>
    <row r="140" spans="2:33" x14ac:dyDescent="0.25">
      <c r="B140" s="80" t="str">
        <f t="shared" si="4"/>
        <v/>
      </c>
      <c r="C140" s="78"/>
      <c r="D140" s="78"/>
      <c r="E140" s="78"/>
      <c r="F140" s="47"/>
      <c r="G140" s="47"/>
      <c r="H140" s="47"/>
      <c r="I140" s="47"/>
      <c r="J140" s="47"/>
      <c r="K140" s="44"/>
      <c r="L140" s="47"/>
      <c r="M140" s="47"/>
      <c r="N140" s="47"/>
      <c r="O140" s="47"/>
      <c r="P140" s="78"/>
      <c r="Q140" s="44"/>
      <c r="R140" s="78"/>
      <c r="S140" s="47"/>
      <c r="T140" s="47"/>
      <c r="U140" s="111"/>
      <c r="V140" s="47"/>
      <c r="W140" s="47"/>
      <c r="X140" s="147"/>
      <c r="Y140" s="78"/>
      <c r="Z140" s="47"/>
      <c r="AA140" s="47"/>
      <c r="AB140" s="47"/>
      <c r="AC140" s="47"/>
      <c r="AD140" s="78"/>
      <c r="AE140" s="90" t="str">
        <f>IF(C140&lt;&gt;"",HYPERLINK(CONCATENATE(SheetName01,"\",Knives[[#This Row],[Manufacturer]],IF(Knives[[#This Row],[Model]]&lt;&gt;""," "&amp;Knives[[#This Row],[Model]],),".jpg"),CONCATENATE(Knives[[#This Row],[Manufacturer]],IF(Knives[[#This Row],[Model]]&lt;&gt;""," "&amp;Knives[[#This Row],[Model]],),".jpg")),"")</f>
        <v/>
      </c>
      <c r="AG140" s="5" t="str">
        <f t="shared" si="5"/>
        <v/>
      </c>
    </row>
    <row r="141" spans="2:33" x14ac:dyDescent="0.25">
      <c r="B141" s="80" t="str">
        <f t="shared" si="4"/>
        <v/>
      </c>
      <c r="C141" s="78"/>
      <c r="D141" s="78"/>
      <c r="E141" s="78"/>
      <c r="F141" s="47"/>
      <c r="G141" s="47"/>
      <c r="H141" s="47"/>
      <c r="I141" s="47"/>
      <c r="J141" s="47"/>
      <c r="K141" s="44"/>
      <c r="L141" s="47"/>
      <c r="M141" s="47"/>
      <c r="N141" s="47"/>
      <c r="O141" s="47"/>
      <c r="P141" s="78"/>
      <c r="Q141" s="44"/>
      <c r="R141" s="78"/>
      <c r="S141" s="47"/>
      <c r="T141" s="47"/>
      <c r="U141" s="111"/>
      <c r="V141" s="47"/>
      <c r="W141" s="47"/>
      <c r="X141" s="147"/>
      <c r="Y141" s="78"/>
      <c r="Z141" s="47"/>
      <c r="AA141" s="47"/>
      <c r="AB141" s="47"/>
      <c r="AC141" s="47"/>
      <c r="AD141" s="78"/>
      <c r="AE141" s="90" t="str">
        <f>IF(C141&lt;&gt;"",HYPERLINK(CONCATENATE(SheetName01,"\",Knives[[#This Row],[Manufacturer]],IF(Knives[[#This Row],[Model]]&lt;&gt;""," "&amp;Knives[[#This Row],[Model]],),".jpg"),CONCATENATE(Knives[[#This Row],[Manufacturer]],IF(Knives[[#This Row],[Model]]&lt;&gt;""," "&amp;Knives[[#This Row],[Model]],),".jpg")),"")</f>
        <v/>
      </c>
      <c r="AG141" s="5" t="str">
        <f t="shared" si="5"/>
        <v/>
      </c>
    </row>
    <row r="142" spans="2:33" x14ac:dyDescent="0.25">
      <c r="B142" s="80" t="str">
        <f t="shared" si="4"/>
        <v/>
      </c>
      <c r="C142" s="78"/>
      <c r="D142" s="78"/>
      <c r="E142" s="78"/>
      <c r="F142" s="47"/>
      <c r="G142" s="47"/>
      <c r="H142" s="47"/>
      <c r="I142" s="47"/>
      <c r="J142" s="47"/>
      <c r="K142" s="44"/>
      <c r="L142" s="47"/>
      <c r="M142" s="47"/>
      <c r="N142" s="47"/>
      <c r="O142" s="47"/>
      <c r="P142" s="78"/>
      <c r="Q142" s="44"/>
      <c r="R142" s="78"/>
      <c r="S142" s="47"/>
      <c r="T142" s="47"/>
      <c r="U142" s="111"/>
      <c r="V142" s="47"/>
      <c r="W142" s="47"/>
      <c r="X142" s="147"/>
      <c r="Y142" s="78"/>
      <c r="Z142" s="47"/>
      <c r="AA142" s="47"/>
      <c r="AB142" s="47"/>
      <c r="AC142" s="47"/>
      <c r="AD142" s="78"/>
      <c r="AE142" s="90" t="str">
        <f>IF(C142&lt;&gt;"",HYPERLINK(CONCATENATE(SheetName01,"\",Knives[[#This Row],[Manufacturer]],IF(Knives[[#This Row],[Model]]&lt;&gt;""," "&amp;Knives[[#This Row],[Model]],),".jpg"),CONCATENATE(Knives[[#This Row],[Manufacturer]],IF(Knives[[#This Row],[Model]]&lt;&gt;""," "&amp;Knives[[#This Row],[Model]],),".jpg")),"")</f>
        <v/>
      </c>
      <c r="AG142" s="5" t="str">
        <f t="shared" si="5"/>
        <v/>
      </c>
    </row>
    <row r="143" spans="2:33" x14ac:dyDescent="0.25">
      <c r="B143" s="80" t="str">
        <f t="shared" si="4"/>
        <v/>
      </c>
      <c r="C143" s="78"/>
      <c r="D143" s="78"/>
      <c r="E143" s="78"/>
      <c r="F143" s="47"/>
      <c r="G143" s="47"/>
      <c r="H143" s="47"/>
      <c r="I143" s="47"/>
      <c r="J143" s="47"/>
      <c r="K143" s="44"/>
      <c r="L143" s="47"/>
      <c r="M143" s="47"/>
      <c r="N143" s="47"/>
      <c r="O143" s="47"/>
      <c r="P143" s="78"/>
      <c r="Q143" s="44"/>
      <c r="R143" s="78"/>
      <c r="S143" s="47"/>
      <c r="T143" s="47"/>
      <c r="U143" s="111"/>
      <c r="V143" s="47"/>
      <c r="W143" s="47"/>
      <c r="X143" s="147"/>
      <c r="Y143" s="78"/>
      <c r="Z143" s="47"/>
      <c r="AA143" s="47"/>
      <c r="AB143" s="47"/>
      <c r="AC143" s="47"/>
      <c r="AD143" s="78"/>
      <c r="AE143" s="90" t="str">
        <f>IF(C143&lt;&gt;"",HYPERLINK(CONCATENATE(SheetName01,"\",Knives[[#This Row],[Manufacturer]],IF(Knives[[#This Row],[Model]]&lt;&gt;""," "&amp;Knives[[#This Row],[Model]],),".jpg"),CONCATENATE(Knives[[#This Row],[Manufacturer]],IF(Knives[[#This Row],[Model]]&lt;&gt;""," "&amp;Knives[[#This Row],[Model]],),".jpg")),"")</f>
        <v/>
      </c>
      <c r="AG143" s="5" t="str">
        <f t="shared" si="5"/>
        <v/>
      </c>
    </row>
    <row r="144" spans="2:33" x14ac:dyDescent="0.25">
      <c r="B144" s="80" t="str">
        <f t="shared" si="4"/>
        <v/>
      </c>
      <c r="C144" s="78"/>
      <c r="D144" s="78"/>
      <c r="E144" s="78"/>
      <c r="F144" s="47"/>
      <c r="G144" s="47"/>
      <c r="H144" s="47"/>
      <c r="I144" s="47"/>
      <c r="J144" s="47"/>
      <c r="K144" s="44"/>
      <c r="L144" s="47"/>
      <c r="M144" s="47"/>
      <c r="N144" s="47"/>
      <c r="O144" s="47"/>
      <c r="P144" s="78"/>
      <c r="Q144" s="44"/>
      <c r="R144" s="78"/>
      <c r="S144" s="47"/>
      <c r="T144" s="47"/>
      <c r="U144" s="111"/>
      <c r="V144" s="47"/>
      <c r="W144" s="47"/>
      <c r="X144" s="147"/>
      <c r="Y144" s="78"/>
      <c r="Z144" s="47"/>
      <c r="AA144" s="47"/>
      <c r="AB144" s="47"/>
      <c r="AC144" s="47"/>
      <c r="AD144" s="78"/>
      <c r="AE144" s="90" t="str">
        <f>IF(C144&lt;&gt;"",HYPERLINK(CONCATENATE(SheetName01,"\",Knives[[#This Row],[Manufacturer]],IF(Knives[[#This Row],[Model]]&lt;&gt;""," "&amp;Knives[[#This Row],[Model]],),".jpg"),CONCATENATE(Knives[[#This Row],[Manufacturer]],IF(Knives[[#This Row],[Model]]&lt;&gt;""," "&amp;Knives[[#This Row],[Model]],),".jpg")),"")</f>
        <v/>
      </c>
      <c r="AG144" s="5" t="str">
        <f t="shared" si="5"/>
        <v/>
      </c>
    </row>
    <row r="145" spans="2:33" x14ac:dyDescent="0.25">
      <c r="B145" s="80" t="str">
        <f t="shared" si="4"/>
        <v/>
      </c>
      <c r="C145" s="78"/>
      <c r="D145" s="78"/>
      <c r="E145" s="78"/>
      <c r="F145" s="47"/>
      <c r="G145" s="47"/>
      <c r="H145" s="47"/>
      <c r="I145" s="47"/>
      <c r="J145" s="47"/>
      <c r="K145" s="44"/>
      <c r="L145" s="47"/>
      <c r="M145" s="47"/>
      <c r="N145" s="47"/>
      <c r="O145" s="47"/>
      <c r="P145" s="78"/>
      <c r="Q145" s="44"/>
      <c r="R145" s="78"/>
      <c r="S145" s="47"/>
      <c r="T145" s="47"/>
      <c r="U145" s="111"/>
      <c r="V145" s="47"/>
      <c r="W145" s="47"/>
      <c r="X145" s="147"/>
      <c r="Y145" s="78"/>
      <c r="Z145" s="47"/>
      <c r="AA145" s="47"/>
      <c r="AB145" s="47"/>
      <c r="AC145" s="47"/>
      <c r="AD145" s="78"/>
      <c r="AE145" s="90" t="str">
        <f>IF(C145&lt;&gt;"",HYPERLINK(CONCATENATE(SheetName01,"\",Knives[[#This Row],[Manufacturer]],IF(Knives[[#This Row],[Model]]&lt;&gt;""," "&amp;Knives[[#This Row],[Model]],),".jpg"),CONCATENATE(Knives[[#This Row],[Manufacturer]],IF(Knives[[#This Row],[Model]]&lt;&gt;""," "&amp;Knives[[#This Row],[Model]],),".jpg")),"")</f>
        <v/>
      </c>
      <c r="AG145" s="5" t="str">
        <f t="shared" si="5"/>
        <v/>
      </c>
    </row>
    <row r="146" spans="2:33" x14ac:dyDescent="0.25">
      <c r="B146" s="80" t="str">
        <f t="shared" si="4"/>
        <v/>
      </c>
      <c r="C146" s="78"/>
      <c r="D146" s="78"/>
      <c r="E146" s="78"/>
      <c r="F146" s="47"/>
      <c r="G146" s="47"/>
      <c r="H146" s="47"/>
      <c r="I146" s="47"/>
      <c r="J146" s="47"/>
      <c r="K146" s="44"/>
      <c r="L146" s="47"/>
      <c r="M146" s="47"/>
      <c r="N146" s="47"/>
      <c r="O146" s="47"/>
      <c r="P146" s="78"/>
      <c r="Q146" s="44"/>
      <c r="R146" s="78"/>
      <c r="S146" s="47"/>
      <c r="T146" s="47"/>
      <c r="U146" s="111"/>
      <c r="V146" s="47"/>
      <c r="W146" s="47"/>
      <c r="X146" s="147"/>
      <c r="Y146" s="78"/>
      <c r="Z146" s="47"/>
      <c r="AA146" s="47"/>
      <c r="AB146" s="47"/>
      <c r="AC146" s="47"/>
      <c r="AD146" s="78"/>
      <c r="AE146" s="90" t="str">
        <f>IF(C146&lt;&gt;"",HYPERLINK(CONCATENATE(SheetName01,"\",Knives[[#This Row],[Manufacturer]],IF(Knives[[#This Row],[Model]]&lt;&gt;""," "&amp;Knives[[#This Row],[Model]],),".jpg"),CONCATENATE(Knives[[#This Row],[Manufacturer]],IF(Knives[[#This Row],[Model]]&lt;&gt;""," "&amp;Knives[[#This Row],[Model]],),".jpg")),"")</f>
        <v/>
      </c>
      <c r="AG146" s="5" t="str">
        <f t="shared" si="5"/>
        <v/>
      </c>
    </row>
    <row r="147" spans="2:33" x14ac:dyDescent="0.25">
      <c r="B147" s="80" t="str">
        <f t="shared" si="4"/>
        <v/>
      </c>
      <c r="C147" s="78"/>
      <c r="D147" s="78"/>
      <c r="E147" s="78"/>
      <c r="F147" s="47"/>
      <c r="G147" s="47"/>
      <c r="H147" s="47"/>
      <c r="I147" s="47"/>
      <c r="J147" s="47"/>
      <c r="K147" s="44"/>
      <c r="L147" s="47"/>
      <c r="M147" s="47"/>
      <c r="N147" s="47"/>
      <c r="O147" s="47"/>
      <c r="P147" s="78"/>
      <c r="Q147" s="44"/>
      <c r="R147" s="78"/>
      <c r="S147" s="47"/>
      <c r="T147" s="47"/>
      <c r="U147" s="111"/>
      <c r="V147" s="47"/>
      <c r="W147" s="47"/>
      <c r="X147" s="147"/>
      <c r="Y147" s="78"/>
      <c r="Z147" s="47"/>
      <c r="AA147" s="47"/>
      <c r="AB147" s="47"/>
      <c r="AC147" s="47"/>
      <c r="AD147" s="78"/>
      <c r="AE147" s="90" t="str">
        <f>IF(C147&lt;&gt;"",HYPERLINK(CONCATENATE(SheetName01,"\",Knives[[#This Row],[Manufacturer]],IF(Knives[[#This Row],[Model]]&lt;&gt;""," "&amp;Knives[[#This Row],[Model]],),".jpg"),CONCATENATE(Knives[[#This Row],[Manufacturer]],IF(Knives[[#This Row],[Model]]&lt;&gt;""," "&amp;Knives[[#This Row],[Model]],),".jpg")),"")</f>
        <v/>
      </c>
      <c r="AG147" s="5" t="str">
        <f t="shared" si="5"/>
        <v/>
      </c>
    </row>
    <row r="148" spans="2:33" x14ac:dyDescent="0.25">
      <c r="B148" s="80" t="str">
        <f t="shared" si="4"/>
        <v/>
      </c>
      <c r="C148" s="78"/>
      <c r="D148" s="78"/>
      <c r="E148" s="78"/>
      <c r="F148" s="47"/>
      <c r="G148" s="47"/>
      <c r="H148" s="47"/>
      <c r="I148" s="47"/>
      <c r="J148" s="47"/>
      <c r="K148" s="44"/>
      <c r="L148" s="47"/>
      <c r="M148" s="47"/>
      <c r="N148" s="47"/>
      <c r="O148" s="47"/>
      <c r="P148" s="78"/>
      <c r="Q148" s="44"/>
      <c r="R148" s="78"/>
      <c r="S148" s="47"/>
      <c r="T148" s="47"/>
      <c r="U148" s="111"/>
      <c r="V148" s="47"/>
      <c r="W148" s="47"/>
      <c r="X148" s="147"/>
      <c r="Y148" s="78"/>
      <c r="Z148" s="47"/>
      <c r="AA148" s="47"/>
      <c r="AB148" s="47"/>
      <c r="AC148" s="47"/>
      <c r="AD148" s="78"/>
      <c r="AE148" s="90" t="str">
        <f>IF(C148&lt;&gt;"",HYPERLINK(CONCATENATE(SheetName01,"\",Knives[[#This Row],[Manufacturer]],IF(Knives[[#This Row],[Model]]&lt;&gt;""," "&amp;Knives[[#This Row],[Model]],),".jpg"),CONCATENATE(Knives[[#This Row],[Manufacturer]],IF(Knives[[#This Row],[Model]]&lt;&gt;""," "&amp;Knives[[#This Row],[Model]],),".jpg")),"")</f>
        <v/>
      </c>
      <c r="AG148" s="5" t="str">
        <f t="shared" si="5"/>
        <v/>
      </c>
    </row>
    <row r="149" spans="2:33" x14ac:dyDescent="0.25">
      <c r="B149" s="80" t="str">
        <f t="shared" si="4"/>
        <v/>
      </c>
      <c r="C149" s="78"/>
      <c r="D149" s="78"/>
      <c r="E149" s="78"/>
      <c r="F149" s="47"/>
      <c r="G149" s="47"/>
      <c r="H149" s="47"/>
      <c r="I149" s="47"/>
      <c r="J149" s="47"/>
      <c r="K149" s="44"/>
      <c r="L149" s="47"/>
      <c r="M149" s="47"/>
      <c r="N149" s="47"/>
      <c r="O149" s="47"/>
      <c r="P149" s="78"/>
      <c r="Q149" s="44"/>
      <c r="R149" s="78"/>
      <c r="S149" s="47"/>
      <c r="T149" s="47"/>
      <c r="U149" s="111"/>
      <c r="V149" s="47"/>
      <c r="W149" s="47"/>
      <c r="X149" s="147"/>
      <c r="Y149" s="78"/>
      <c r="Z149" s="47"/>
      <c r="AA149" s="47"/>
      <c r="AB149" s="47"/>
      <c r="AC149" s="47"/>
      <c r="AD149" s="78"/>
      <c r="AE149" s="90" t="str">
        <f>IF(C149&lt;&gt;"",HYPERLINK(CONCATENATE(SheetName01,"\",Knives[[#This Row],[Manufacturer]],IF(Knives[[#This Row],[Model]]&lt;&gt;""," "&amp;Knives[[#This Row],[Model]],),".jpg"),CONCATENATE(Knives[[#This Row],[Manufacturer]],IF(Knives[[#This Row],[Model]]&lt;&gt;""," "&amp;Knives[[#This Row],[Model]],),".jpg")),"")</f>
        <v/>
      </c>
      <c r="AG149" s="5" t="str">
        <f t="shared" si="5"/>
        <v/>
      </c>
    </row>
    <row r="150" spans="2:33" x14ac:dyDescent="0.25">
      <c r="B150" s="80" t="str">
        <f t="shared" si="4"/>
        <v/>
      </c>
      <c r="C150" s="78"/>
      <c r="D150" s="78"/>
      <c r="E150" s="78"/>
      <c r="F150" s="47"/>
      <c r="G150" s="47"/>
      <c r="H150" s="47"/>
      <c r="I150" s="47"/>
      <c r="J150" s="47"/>
      <c r="K150" s="44"/>
      <c r="L150" s="47"/>
      <c r="M150" s="47"/>
      <c r="N150" s="47"/>
      <c r="O150" s="47"/>
      <c r="P150" s="78"/>
      <c r="Q150" s="44"/>
      <c r="R150" s="78"/>
      <c r="S150" s="47"/>
      <c r="T150" s="47"/>
      <c r="U150" s="111"/>
      <c r="V150" s="47"/>
      <c r="W150" s="47"/>
      <c r="X150" s="147"/>
      <c r="Y150" s="78"/>
      <c r="Z150" s="47"/>
      <c r="AA150" s="47"/>
      <c r="AB150" s="47"/>
      <c r="AC150" s="47"/>
      <c r="AD150" s="78"/>
      <c r="AE150" s="90" t="str">
        <f>IF(C150&lt;&gt;"",HYPERLINK(CONCATENATE(SheetName01,"\",Knives[[#This Row],[Manufacturer]],IF(Knives[[#This Row],[Model]]&lt;&gt;""," "&amp;Knives[[#This Row],[Model]],),".jpg"),CONCATENATE(Knives[[#This Row],[Manufacturer]],IF(Knives[[#This Row],[Model]]&lt;&gt;""," "&amp;Knives[[#This Row],[Model]],),".jpg")),"")</f>
        <v/>
      </c>
      <c r="AG150" s="5" t="str">
        <f t="shared" si="5"/>
        <v/>
      </c>
    </row>
    <row r="151" spans="2:33" x14ac:dyDescent="0.25">
      <c r="B151" s="80" t="str">
        <f t="shared" si="4"/>
        <v/>
      </c>
      <c r="C151" s="78"/>
      <c r="D151" s="78"/>
      <c r="E151" s="78"/>
      <c r="F151" s="47"/>
      <c r="G151" s="47"/>
      <c r="H151" s="47"/>
      <c r="I151" s="47"/>
      <c r="J151" s="47"/>
      <c r="K151" s="44"/>
      <c r="L151" s="47"/>
      <c r="M151" s="47"/>
      <c r="N151" s="47"/>
      <c r="O151" s="47"/>
      <c r="P151" s="78"/>
      <c r="Q151" s="44"/>
      <c r="R151" s="78"/>
      <c r="S151" s="47"/>
      <c r="T151" s="47"/>
      <c r="U151" s="111"/>
      <c r="V151" s="47"/>
      <c r="W151" s="47"/>
      <c r="X151" s="147"/>
      <c r="Y151" s="78"/>
      <c r="Z151" s="47"/>
      <c r="AA151" s="47"/>
      <c r="AB151" s="47"/>
      <c r="AC151" s="47"/>
      <c r="AD151" s="78"/>
      <c r="AE151" s="90" t="str">
        <f>IF(C151&lt;&gt;"",HYPERLINK(CONCATENATE(SheetName01,"\",Knives[[#This Row],[Manufacturer]],IF(Knives[[#This Row],[Model]]&lt;&gt;""," "&amp;Knives[[#This Row],[Model]],),".jpg"),CONCATENATE(Knives[[#This Row],[Manufacturer]],IF(Knives[[#This Row],[Model]]&lt;&gt;""," "&amp;Knives[[#This Row],[Model]],),".jpg")),"")</f>
        <v/>
      </c>
      <c r="AG151" s="5" t="str">
        <f t="shared" si="5"/>
        <v/>
      </c>
    </row>
    <row r="152" spans="2:33" x14ac:dyDescent="0.25">
      <c r="B152" s="80" t="str">
        <f t="shared" si="4"/>
        <v/>
      </c>
      <c r="C152" s="78"/>
      <c r="D152" s="78"/>
      <c r="E152" s="78"/>
      <c r="F152" s="47"/>
      <c r="G152" s="47"/>
      <c r="H152" s="47"/>
      <c r="I152" s="47"/>
      <c r="J152" s="47"/>
      <c r="K152" s="44"/>
      <c r="L152" s="47"/>
      <c r="M152" s="47"/>
      <c r="N152" s="47"/>
      <c r="O152" s="47"/>
      <c r="P152" s="78"/>
      <c r="Q152" s="44"/>
      <c r="R152" s="78"/>
      <c r="S152" s="47"/>
      <c r="T152" s="47"/>
      <c r="U152" s="111"/>
      <c r="V152" s="47"/>
      <c r="W152" s="47"/>
      <c r="X152" s="147"/>
      <c r="Y152" s="78"/>
      <c r="Z152" s="47"/>
      <c r="AA152" s="47"/>
      <c r="AB152" s="47"/>
      <c r="AC152" s="47"/>
      <c r="AD152" s="78"/>
      <c r="AE152" s="90" t="str">
        <f>IF(C152&lt;&gt;"",HYPERLINK(CONCATENATE(SheetName01,"\",Knives[[#This Row],[Manufacturer]],IF(Knives[[#This Row],[Model]]&lt;&gt;""," "&amp;Knives[[#This Row],[Model]],),".jpg"),CONCATENATE(Knives[[#This Row],[Manufacturer]],IF(Knives[[#This Row],[Model]]&lt;&gt;""," "&amp;Knives[[#This Row],[Model]],),".jpg")),"")</f>
        <v/>
      </c>
      <c r="AG152" s="5" t="str">
        <f t="shared" si="5"/>
        <v/>
      </c>
    </row>
    <row r="153" spans="2:33" x14ac:dyDescent="0.25">
      <c r="B153" s="80" t="str">
        <f t="shared" si="4"/>
        <v/>
      </c>
      <c r="C153" s="78"/>
      <c r="D153" s="78"/>
      <c r="E153" s="78"/>
      <c r="F153" s="47"/>
      <c r="G153" s="47"/>
      <c r="H153" s="47"/>
      <c r="I153" s="47"/>
      <c r="J153" s="47"/>
      <c r="K153" s="44"/>
      <c r="L153" s="47"/>
      <c r="M153" s="47"/>
      <c r="N153" s="47"/>
      <c r="O153" s="47"/>
      <c r="P153" s="78"/>
      <c r="Q153" s="44"/>
      <c r="R153" s="78"/>
      <c r="S153" s="47"/>
      <c r="T153" s="47"/>
      <c r="U153" s="111"/>
      <c r="V153" s="47"/>
      <c r="W153" s="47"/>
      <c r="X153" s="147"/>
      <c r="Y153" s="78"/>
      <c r="Z153" s="47"/>
      <c r="AA153" s="47"/>
      <c r="AB153" s="47"/>
      <c r="AC153" s="47"/>
      <c r="AD153" s="78"/>
      <c r="AE153" s="90" t="str">
        <f>IF(C153&lt;&gt;"",HYPERLINK(CONCATENATE(SheetName01,"\",Knives[[#This Row],[Manufacturer]],IF(Knives[[#This Row],[Model]]&lt;&gt;""," "&amp;Knives[[#This Row],[Model]],),".jpg"),CONCATENATE(Knives[[#This Row],[Manufacturer]],IF(Knives[[#This Row],[Model]]&lt;&gt;""," "&amp;Knives[[#This Row],[Model]],),".jpg")),"")</f>
        <v/>
      </c>
      <c r="AG153" s="5" t="str">
        <f t="shared" si="5"/>
        <v/>
      </c>
    </row>
    <row r="154" spans="2:33" x14ac:dyDescent="0.25">
      <c r="B154" s="80" t="str">
        <f t="shared" si="4"/>
        <v/>
      </c>
      <c r="C154" s="78"/>
      <c r="D154" s="78"/>
      <c r="E154" s="78"/>
      <c r="F154" s="47"/>
      <c r="G154" s="47"/>
      <c r="H154" s="47"/>
      <c r="I154" s="47"/>
      <c r="J154" s="47"/>
      <c r="K154" s="44"/>
      <c r="L154" s="47"/>
      <c r="M154" s="47"/>
      <c r="N154" s="47"/>
      <c r="O154" s="47"/>
      <c r="P154" s="78"/>
      <c r="Q154" s="44"/>
      <c r="R154" s="78"/>
      <c r="S154" s="47"/>
      <c r="T154" s="47"/>
      <c r="U154" s="111"/>
      <c r="V154" s="47"/>
      <c r="W154" s="47"/>
      <c r="X154" s="147"/>
      <c r="Y154" s="78"/>
      <c r="Z154" s="47"/>
      <c r="AA154" s="47"/>
      <c r="AB154" s="47"/>
      <c r="AC154" s="47"/>
      <c r="AD154" s="78"/>
      <c r="AE154" s="90" t="str">
        <f>IF(C154&lt;&gt;"",HYPERLINK(CONCATENATE(SheetName01,"\",Knives[[#This Row],[Manufacturer]],IF(Knives[[#This Row],[Model]]&lt;&gt;""," "&amp;Knives[[#This Row],[Model]],),".jpg"),CONCATENATE(Knives[[#This Row],[Manufacturer]],IF(Knives[[#This Row],[Model]]&lt;&gt;""," "&amp;Knives[[#This Row],[Model]],),".jpg")),"")</f>
        <v/>
      </c>
      <c r="AG154" s="5" t="str">
        <f t="shared" si="5"/>
        <v/>
      </c>
    </row>
    <row r="155" spans="2:33" x14ac:dyDescent="0.25">
      <c r="B155" s="80" t="str">
        <f t="shared" si="4"/>
        <v/>
      </c>
      <c r="C155" s="78"/>
      <c r="D155" s="78"/>
      <c r="E155" s="78"/>
      <c r="F155" s="47"/>
      <c r="G155" s="47"/>
      <c r="H155" s="47"/>
      <c r="I155" s="47"/>
      <c r="J155" s="47"/>
      <c r="K155" s="44"/>
      <c r="L155" s="47"/>
      <c r="M155" s="47"/>
      <c r="N155" s="47"/>
      <c r="O155" s="47"/>
      <c r="P155" s="78"/>
      <c r="Q155" s="44"/>
      <c r="R155" s="78"/>
      <c r="S155" s="47"/>
      <c r="T155" s="47"/>
      <c r="U155" s="111"/>
      <c r="V155" s="47"/>
      <c r="W155" s="47"/>
      <c r="X155" s="147"/>
      <c r="Y155" s="78"/>
      <c r="Z155" s="47"/>
      <c r="AA155" s="47"/>
      <c r="AB155" s="47"/>
      <c r="AC155" s="47"/>
      <c r="AD155" s="78"/>
      <c r="AE155" s="90" t="str">
        <f>IF(C155&lt;&gt;"",HYPERLINK(CONCATENATE(SheetName01,"\",Knives[[#This Row],[Manufacturer]],IF(Knives[[#This Row],[Model]]&lt;&gt;""," "&amp;Knives[[#This Row],[Model]],),".jpg"),CONCATENATE(Knives[[#This Row],[Manufacturer]],IF(Knives[[#This Row],[Model]]&lt;&gt;""," "&amp;Knives[[#This Row],[Model]],),".jpg")),"")</f>
        <v/>
      </c>
      <c r="AG155" s="5" t="str">
        <f t="shared" si="5"/>
        <v/>
      </c>
    </row>
    <row r="156" spans="2:33" x14ac:dyDescent="0.25">
      <c r="B156" s="80" t="str">
        <f t="shared" si="4"/>
        <v/>
      </c>
      <c r="C156" s="78"/>
      <c r="D156" s="78"/>
      <c r="E156" s="78"/>
      <c r="F156" s="47"/>
      <c r="G156" s="47"/>
      <c r="H156" s="47"/>
      <c r="I156" s="47"/>
      <c r="J156" s="47"/>
      <c r="K156" s="44"/>
      <c r="L156" s="47"/>
      <c r="M156" s="47"/>
      <c r="N156" s="47"/>
      <c r="O156" s="47"/>
      <c r="P156" s="78"/>
      <c r="Q156" s="44"/>
      <c r="R156" s="78"/>
      <c r="S156" s="47"/>
      <c r="T156" s="47"/>
      <c r="U156" s="111"/>
      <c r="V156" s="47"/>
      <c r="W156" s="47"/>
      <c r="X156" s="147"/>
      <c r="Y156" s="78"/>
      <c r="Z156" s="47"/>
      <c r="AA156" s="47"/>
      <c r="AB156" s="47"/>
      <c r="AC156" s="47"/>
      <c r="AD156" s="78"/>
      <c r="AE156" s="90" t="str">
        <f>IF(C156&lt;&gt;"",HYPERLINK(CONCATENATE(SheetName01,"\",Knives[[#This Row],[Manufacturer]],IF(Knives[[#This Row],[Model]]&lt;&gt;""," "&amp;Knives[[#This Row],[Model]],),".jpg"),CONCATENATE(Knives[[#This Row],[Manufacturer]],IF(Knives[[#This Row],[Model]]&lt;&gt;""," "&amp;Knives[[#This Row],[Model]],),".jpg")),"")</f>
        <v/>
      </c>
      <c r="AG156" s="5" t="str">
        <f t="shared" si="5"/>
        <v/>
      </c>
    </row>
    <row r="157" spans="2:33" x14ac:dyDescent="0.25">
      <c r="B157" s="80" t="str">
        <f t="shared" si="4"/>
        <v/>
      </c>
      <c r="C157" s="78"/>
      <c r="D157" s="78"/>
      <c r="E157" s="78"/>
      <c r="F157" s="47"/>
      <c r="G157" s="47"/>
      <c r="H157" s="47"/>
      <c r="I157" s="47"/>
      <c r="J157" s="47"/>
      <c r="K157" s="44"/>
      <c r="L157" s="47"/>
      <c r="M157" s="47"/>
      <c r="N157" s="47"/>
      <c r="O157" s="47"/>
      <c r="P157" s="78"/>
      <c r="Q157" s="44"/>
      <c r="R157" s="78"/>
      <c r="S157" s="47"/>
      <c r="T157" s="47"/>
      <c r="U157" s="111"/>
      <c r="V157" s="47"/>
      <c r="W157" s="47"/>
      <c r="X157" s="147"/>
      <c r="Y157" s="78"/>
      <c r="Z157" s="47"/>
      <c r="AA157" s="47"/>
      <c r="AB157" s="47"/>
      <c r="AC157" s="47"/>
      <c r="AD157" s="78"/>
      <c r="AE157" s="90" t="str">
        <f>IF(C157&lt;&gt;"",HYPERLINK(CONCATENATE(SheetName01,"\",Knives[[#This Row],[Manufacturer]],IF(Knives[[#This Row],[Model]]&lt;&gt;""," "&amp;Knives[[#This Row],[Model]],),".jpg"),CONCATENATE(Knives[[#This Row],[Manufacturer]],IF(Knives[[#This Row],[Model]]&lt;&gt;""," "&amp;Knives[[#This Row],[Model]],),".jpg")),"")</f>
        <v/>
      </c>
      <c r="AG157" s="5" t="str">
        <f t="shared" si="5"/>
        <v/>
      </c>
    </row>
    <row r="158" spans="2:33" x14ac:dyDescent="0.25">
      <c r="B158" s="80" t="str">
        <f t="shared" si="4"/>
        <v/>
      </c>
      <c r="C158" s="78"/>
      <c r="D158" s="78"/>
      <c r="E158" s="78"/>
      <c r="F158" s="47"/>
      <c r="G158" s="47"/>
      <c r="H158" s="47"/>
      <c r="I158" s="47"/>
      <c r="J158" s="47"/>
      <c r="K158" s="44"/>
      <c r="L158" s="47"/>
      <c r="M158" s="47"/>
      <c r="N158" s="47"/>
      <c r="O158" s="47"/>
      <c r="P158" s="78"/>
      <c r="Q158" s="44"/>
      <c r="R158" s="78"/>
      <c r="S158" s="47"/>
      <c r="T158" s="47"/>
      <c r="U158" s="111"/>
      <c r="V158" s="47"/>
      <c r="W158" s="47"/>
      <c r="X158" s="147"/>
      <c r="Y158" s="78"/>
      <c r="Z158" s="47"/>
      <c r="AA158" s="47"/>
      <c r="AB158" s="47"/>
      <c r="AC158" s="47"/>
      <c r="AD158" s="78"/>
      <c r="AE158" s="90" t="str">
        <f>IF(C158&lt;&gt;"",HYPERLINK(CONCATENATE(SheetName01,"\",Knives[[#This Row],[Manufacturer]],IF(Knives[[#This Row],[Model]]&lt;&gt;""," "&amp;Knives[[#This Row],[Model]],),".jpg"),CONCATENATE(Knives[[#This Row],[Manufacturer]],IF(Knives[[#This Row],[Model]]&lt;&gt;""," "&amp;Knives[[#This Row],[Model]],),".jpg")),"")</f>
        <v/>
      </c>
      <c r="AG158" s="5" t="str">
        <f t="shared" si="5"/>
        <v/>
      </c>
    </row>
    <row r="159" spans="2:33" x14ac:dyDescent="0.25">
      <c r="B159" s="80" t="str">
        <f t="shared" si="4"/>
        <v/>
      </c>
      <c r="C159" s="78"/>
      <c r="D159" s="78"/>
      <c r="E159" s="78"/>
      <c r="F159" s="47"/>
      <c r="G159" s="47"/>
      <c r="H159" s="47"/>
      <c r="I159" s="47"/>
      <c r="J159" s="47"/>
      <c r="K159" s="44"/>
      <c r="L159" s="47"/>
      <c r="M159" s="47"/>
      <c r="N159" s="47"/>
      <c r="O159" s="47"/>
      <c r="P159" s="78"/>
      <c r="Q159" s="44"/>
      <c r="R159" s="78"/>
      <c r="S159" s="47"/>
      <c r="T159" s="47"/>
      <c r="U159" s="111"/>
      <c r="V159" s="47"/>
      <c r="W159" s="47"/>
      <c r="X159" s="147"/>
      <c r="Y159" s="78"/>
      <c r="Z159" s="47"/>
      <c r="AA159" s="47"/>
      <c r="AB159" s="47"/>
      <c r="AC159" s="47"/>
      <c r="AD159" s="78"/>
      <c r="AE159" s="90" t="str">
        <f>IF(C159&lt;&gt;"",HYPERLINK(CONCATENATE(SheetName01,"\",Knives[[#This Row],[Manufacturer]],IF(Knives[[#This Row],[Model]]&lt;&gt;""," "&amp;Knives[[#This Row],[Model]],),".jpg"),CONCATENATE(Knives[[#This Row],[Manufacturer]],IF(Knives[[#This Row],[Model]]&lt;&gt;""," "&amp;Knives[[#This Row],[Model]],),".jpg")),"")</f>
        <v/>
      </c>
      <c r="AG159" s="5" t="str">
        <f t="shared" si="5"/>
        <v/>
      </c>
    </row>
    <row r="160" spans="2:33" x14ac:dyDescent="0.25">
      <c r="B160" s="80" t="str">
        <f t="shared" si="4"/>
        <v/>
      </c>
      <c r="C160" s="78"/>
      <c r="D160" s="78"/>
      <c r="E160" s="78"/>
      <c r="F160" s="47"/>
      <c r="G160" s="47"/>
      <c r="H160" s="47"/>
      <c r="I160" s="47"/>
      <c r="J160" s="47"/>
      <c r="K160" s="44"/>
      <c r="L160" s="47"/>
      <c r="M160" s="47"/>
      <c r="N160" s="47"/>
      <c r="O160" s="47"/>
      <c r="P160" s="78"/>
      <c r="Q160" s="44"/>
      <c r="R160" s="78"/>
      <c r="S160" s="47"/>
      <c r="T160" s="47"/>
      <c r="U160" s="111"/>
      <c r="V160" s="47"/>
      <c r="W160" s="47"/>
      <c r="X160" s="147"/>
      <c r="Y160" s="78"/>
      <c r="Z160" s="47"/>
      <c r="AA160" s="47"/>
      <c r="AB160" s="47"/>
      <c r="AC160" s="47"/>
      <c r="AD160" s="78"/>
      <c r="AE160" s="90" t="str">
        <f>IF(C160&lt;&gt;"",HYPERLINK(CONCATENATE(SheetName01,"\",Knives[[#This Row],[Manufacturer]],IF(Knives[[#This Row],[Model]]&lt;&gt;""," "&amp;Knives[[#This Row],[Model]],),".jpg"),CONCATENATE(Knives[[#This Row],[Manufacturer]],IF(Knives[[#This Row],[Model]]&lt;&gt;""," "&amp;Knives[[#This Row],[Model]],),".jpg")),"")</f>
        <v/>
      </c>
      <c r="AG160" s="5" t="str">
        <f t="shared" si="5"/>
        <v/>
      </c>
    </row>
    <row r="161" spans="2:33" x14ac:dyDescent="0.25">
      <c r="B161" s="80" t="str">
        <f t="shared" si="4"/>
        <v/>
      </c>
      <c r="C161" s="78"/>
      <c r="D161" s="78"/>
      <c r="E161" s="78"/>
      <c r="F161" s="47"/>
      <c r="G161" s="47"/>
      <c r="H161" s="47"/>
      <c r="I161" s="47"/>
      <c r="J161" s="47"/>
      <c r="K161" s="44"/>
      <c r="L161" s="47"/>
      <c r="M161" s="47"/>
      <c r="N161" s="47"/>
      <c r="O161" s="47"/>
      <c r="P161" s="78"/>
      <c r="Q161" s="44"/>
      <c r="R161" s="78"/>
      <c r="S161" s="47"/>
      <c r="T161" s="47"/>
      <c r="U161" s="111"/>
      <c r="V161" s="47"/>
      <c r="W161" s="47"/>
      <c r="X161" s="147"/>
      <c r="Y161" s="78"/>
      <c r="Z161" s="47"/>
      <c r="AA161" s="47"/>
      <c r="AB161" s="47"/>
      <c r="AC161" s="47"/>
      <c r="AD161" s="78"/>
      <c r="AE161" s="90" t="str">
        <f>IF(C161&lt;&gt;"",HYPERLINK(CONCATENATE(SheetName01,"\",Knives[[#This Row],[Manufacturer]],IF(Knives[[#This Row],[Model]]&lt;&gt;""," "&amp;Knives[[#This Row],[Model]],),".jpg"),CONCATENATE(Knives[[#This Row],[Manufacturer]],IF(Knives[[#This Row],[Model]]&lt;&gt;""," "&amp;Knives[[#This Row],[Model]],),".jpg")),"")</f>
        <v/>
      </c>
      <c r="AG161" s="5" t="str">
        <f t="shared" si="5"/>
        <v/>
      </c>
    </row>
    <row r="162" spans="2:33" x14ac:dyDescent="0.25">
      <c r="B162" s="80" t="str">
        <f t="shared" si="4"/>
        <v/>
      </c>
      <c r="C162" s="78"/>
      <c r="D162" s="78"/>
      <c r="E162" s="78"/>
      <c r="F162" s="47"/>
      <c r="G162" s="47"/>
      <c r="H162" s="47"/>
      <c r="I162" s="47"/>
      <c r="J162" s="47"/>
      <c r="K162" s="44"/>
      <c r="L162" s="47"/>
      <c r="M162" s="47"/>
      <c r="N162" s="47"/>
      <c r="O162" s="47"/>
      <c r="P162" s="78"/>
      <c r="Q162" s="44"/>
      <c r="R162" s="78"/>
      <c r="S162" s="47"/>
      <c r="T162" s="47"/>
      <c r="U162" s="111"/>
      <c r="V162" s="47"/>
      <c r="W162" s="47"/>
      <c r="X162" s="147"/>
      <c r="Y162" s="78"/>
      <c r="Z162" s="47"/>
      <c r="AA162" s="47"/>
      <c r="AB162" s="47"/>
      <c r="AC162" s="47"/>
      <c r="AD162" s="78"/>
      <c r="AE162" s="90" t="str">
        <f>IF(C162&lt;&gt;"",HYPERLINK(CONCATENATE(SheetName01,"\",Knives[[#This Row],[Manufacturer]],IF(Knives[[#This Row],[Model]]&lt;&gt;""," "&amp;Knives[[#This Row],[Model]],),".jpg"),CONCATENATE(Knives[[#This Row],[Manufacturer]],IF(Knives[[#This Row],[Model]]&lt;&gt;""," "&amp;Knives[[#This Row],[Model]],),".jpg")),"")</f>
        <v/>
      </c>
      <c r="AG162" s="5" t="str">
        <f t="shared" si="5"/>
        <v/>
      </c>
    </row>
    <row r="163" spans="2:33" x14ac:dyDescent="0.25">
      <c r="B163" s="80" t="str">
        <f t="shared" si="4"/>
        <v/>
      </c>
      <c r="C163" s="78"/>
      <c r="D163" s="78"/>
      <c r="E163" s="78"/>
      <c r="F163" s="47"/>
      <c r="G163" s="47"/>
      <c r="H163" s="47"/>
      <c r="I163" s="47"/>
      <c r="J163" s="47"/>
      <c r="K163" s="44"/>
      <c r="L163" s="47"/>
      <c r="M163" s="47"/>
      <c r="N163" s="47"/>
      <c r="O163" s="47"/>
      <c r="P163" s="78"/>
      <c r="Q163" s="44"/>
      <c r="R163" s="78"/>
      <c r="S163" s="47"/>
      <c r="T163" s="47"/>
      <c r="U163" s="111"/>
      <c r="V163" s="47"/>
      <c r="W163" s="47"/>
      <c r="X163" s="147"/>
      <c r="Y163" s="78"/>
      <c r="Z163" s="47"/>
      <c r="AA163" s="47"/>
      <c r="AB163" s="47"/>
      <c r="AC163" s="47"/>
      <c r="AD163" s="78"/>
      <c r="AE163" s="90" t="str">
        <f>IF(C163&lt;&gt;"",HYPERLINK(CONCATENATE(SheetName01,"\",Knives[[#This Row],[Manufacturer]],IF(Knives[[#This Row],[Model]]&lt;&gt;""," "&amp;Knives[[#This Row],[Model]],),".jpg"),CONCATENATE(Knives[[#This Row],[Manufacturer]],IF(Knives[[#This Row],[Model]]&lt;&gt;""," "&amp;Knives[[#This Row],[Model]],),".jpg")),"")</f>
        <v/>
      </c>
      <c r="AG163" s="5" t="str">
        <f t="shared" si="5"/>
        <v/>
      </c>
    </row>
    <row r="164" spans="2:33" x14ac:dyDescent="0.25">
      <c r="B164" s="80" t="str">
        <f t="shared" si="4"/>
        <v/>
      </c>
      <c r="C164" s="78"/>
      <c r="D164" s="78"/>
      <c r="E164" s="78"/>
      <c r="F164" s="47"/>
      <c r="G164" s="47"/>
      <c r="H164" s="47"/>
      <c r="I164" s="47"/>
      <c r="J164" s="47"/>
      <c r="K164" s="44"/>
      <c r="L164" s="47"/>
      <c r="M164" s="47"/>
      <c r="N164" s="47"/>
      <c r="O164" s="47"/>
      <c r="P164" s="78"/>
      <c r="Q164" s="44"/>
      <c r="R164" s="78"/>
      <c r="S164" s="47"/>
      <c r="T164" s="47"/>
      <c r="U164" s="111"/>
      <c r="V164" s="47"/>
      <c r="W164" s="47"/>
      <c r="X164" s="147"/>
      <c r="Y164" s="78"/>
      <c r="Z164" s="47"/>
      <c r="AA164" s="47"/>
      <c r="AB164" s="47"/>
      <c r="AC164" s="47"/>
      <c r="AD164" s="78"/>
      <c r="AE164" s="90" t="str">
        <f>IF(C164&lt;&gt;"",HYPERLINK(CONCATENATE(SheetName01,"\",Knives[[#This Row],[Manufacturer]],IF(Knives[[#This Row],[Model]]&lt;&gt;""," "&amp;Knives[[#This Row],[Model]],),".jpg"),CONCATENATE(Knives[[#This Row],[Manufacturer]],IF(Knives[[#This Row],[Model]]&lt;&gt;""," "&amp;Knives[[#This Row],[Model]],),".jpg")),"")</f>
        <v/>
      </c>
      <c r="AG164" s="5" t="str">
        <f t="shared" si="5"/>
        <v/>
      </c>
    </row>
    <row r="165" spans="2:33" x14ac:dyDescent="0.25">
      <c r="B165" s="80" t="str">
        <f t="shared" si="4"/>
        <v/>
      </c>
      <c r="C165" s="78"/>
      <c r="D165" s="78"/>
      <c r="E165" s="78"/>
      <c r="F165" s="47"/>
      <c r="G165" s="47"/>
      <c r="H165" s="47"/>
      <c r="I165" s="47"/>
      <c r="J165" s="47"/>
      <c r="K165" s="44"/>
      <c r="L165" s="47"/>
      <c r="M165" s="47"/>
      <c r="N165" s="47"/>
      <c r="O165" s="47"/>
      <c r="P165" s="78"/>
      <c r="Q165" s="44"/>
      <c r="R165" s="78"/>
      <c r="S165" s="47"/>
      <c r="T165" s="47"/>
      <c r="U165" s="111"/>
      <c r="V165" s="47"/>
      <c r="W165" s="47"/>
      <c r="X165" s="147"/>
      <c r="Y165" s="78"/>
      <c r="Z165" s="47"/>
      <c r="AA165" s="47"/>
      <c r="AB165" s="47"/>
      <c r="AC165" s="47"/>
      <c r="AD165" s="78"/>
      <c r="AE165" s="90" t="str">
        <f>IF(C165&lt;&gt;"",HYPERLINK(CONCATENATE(SheetName01,"\",Knives[[#This Row],[Manufacturer]],IF(Knives[[#This Row],[Model]]&lt;&gt;""," "&amp;Knives[[#This Row],[Model]],),".jpg"),CONCATENATE(Knives[[#This Row],[Manufacturer]],IF(Knives[[#This Row],[Model]]&lt;&gt;""," "&amp;Knives[[#This Row],[Model]],),".jpg")),"")</f>
        <v/>
      </c>
      <c r="AG165" s="5" t="str">
        <f t="shared" si="5"/>
        <v/>
      </c>
    </row>
    <row r="166" spans="2:33" x14ac:dyDescent="0.25">
      <c r="B166" s="80" t="str">
        <f t="shared" si="4"/>
        <v/>
      </c>
      <c r="C166" s="78"/>
      <c r="D166" s="78"/>
      <c r="E166" s="78"/>
      <c r="F166" s="47"/>
      <c r="G166" s="47"/>
      <c r="H166" s="47"/>
      <c r="I166" s="47"/>
      <c r="J166" s="47"/>
      <c r="K166" s="44"/>
      <c r="L166" s="47"/>
      <c r="M166" s="47"/>
      <c r="N166" s="47"/>
      <c r="O166" s="47"/>
      <c r="P166" s="78"/>
      <c r="Q166" s="44"/>
      <c r="R166" s="78"/>
      <c r="S166" s="47"/>
      <c r="T166" s="47"/>
      <c r="U166" s="111"/>
      <c r="V166" s="47"/>
      <c r="W166" s="47"/>
      <c r="X166" s="147"/>
      <c r="Y166" s="78"/>
      <c r="Z166" s="47"/>
      <c r="AA166" s="47"/>
      <c r="AB166" s="47"/>
      <c r="AC166" s="47"/>
      <c r="AD166" s="78"/>
      <c r="AE166" s="90" t="str">
        <f>IF(C166&lt;&gt;"",HYPERLINK(CONCATENATE(SheetName01,"\",Knives[[#This Row],[Manufacturer]],IF(Knives[[#This Row],[Model]]&lt;&gt;""," "&amp;Knives[[#This Row],[Model]],),".jpg"),CONCATENATE(Knives[[#This Row],[Manufacturer]],IF(Knives[[#This Row],[Model]]&lt;&gt;""," "&amp;Knives[[#This Row],[Model]],),".jpg")),"")</f>
        <v/>
      </c>
      <c r="AG166" s="5" t="str">
        <f t="shared" si="5"/>
        <v/>
      </c>
    </row>
    <row r="167" spans="2:33" x14ac:dyDescent="0.25">
      <c r="B167" s="80" t="str">
        <f t="shared" si="4"/>
        <v/>
      </c>
      <c r="C167" s="78"/>
      <c r="D167" s="78"/>
      <c r="E167" s="78"/>
      <c r="F167" s="47"/>
      <c r="G167" s="47"/>
      <c r="H167" s="47"/>
      <c r="I167" s="47"/>
      <c r="J167" s="47"/>
      <c r="K167" s="44"/>
      <c r="L167" s="47"/>
      <c r="M167" s="47"/>
      <c r="N167" s="47"/>
      <c r="O167" s="47"/>
      <c r="P167" s="78"/>
      <c r="Q167" s="44"/>
      <c r="R167" s="78"/>
      <c r="S167" s="47"/>
      <c r="T167" s="47"/>
      <c r="U167" s="111"/>
      <c r="V167" s="47"/>
      <c r="W167" s="47"/>
      <c r="X167" s="147"/>
      <c r="Y167" s="78"/>
      <c r="Z167" s="47"/>
      <c r="AA167" s="47"/>
      <c r="AB167" s="47"/>
      <c r="AC167" s="47"/>
      <c r="AD167" s="78"/>
      <c r="AE167" s="90" t="str">
        <f>IF(C167&lt;&gt;"",HYPERLINK(CONCATENATE(SheetName01,"\",Knives[[#This Row],[Manufacturer]],IF(Knives[[#This Row],[Model]]&lt;&gt;""," "&amp;Knives[[#This Row],[Model]],),".jpg"),CONCATENATE(Knives[[#This Row],[Manufacturer]],IF(Knives[[#This Row],[Model]]&lt;&gt;""," "&amp;Knives[[#This Row],[Model]],),".jpg")),"")</f>
        <v/>
      </c>
      <c r="AG167" s="5" t="str">
        <f t="shared" si="5"/>
        <v/>
      </c>
    </row>
    <row r="168" spans="2:33" x14ac:dyDescent="0.25">
      <c r="B168" s="80" t="str">
        <f t="shared" si="4"/>
        <v/>
      </c>
      <c r="C168" s="78"/>
      <c r="D168" s="78"/>
      <c r="E168" s="78"/>
      <c r="F168" s="47"/>
      <c r="G168" s="47"/>
      <c r="H168" s="47"/>
      <c r="I168" s="47"/>
      <c r="J168" s="47"/>
      <c r="K168" s="44"/>
      <c r="L168" s="47"/>
      <c r="M168" s="47"/>
      <c r="N168" s="47"/>
      <c r="O168" s="47"/>
      <c r="P168" s="78"/>
      <c r="Q168" s="44"/>
      <c r="R168" s="78"/>
      <c r="S168" s="47"/>
      <c r="T168" s="47"/>
      <c r="U168" s="111"/>
      <c r="V168" s="47"/>
      <c r="W168" s="47"/>
      <c r="X168" s="147"/>
      <c r="Y168" s="78"/>
      <c r="Z168" s="47"/>
      <c r="AA168" s="47"/>
      <c r="AB168" s="47"/>
      <c r="AC168" s="47"/>
      <c r="AD168" s="78"/>
      <c r="AE168" s="90" t="str">
        <f>IF(C168&lt;&gt;"",HYPERLINK(CONCATENATE(SheetName01,"\",Knives[[#This Row],[Manufacturer]],IF(Knives[[#This Row],[Model]]&lt;&gt;""," "&amp;Knives[[#This Row],[Model]],),".jpg"),CONCATENATE(Knives[[#This Row],[Manufacturer]],IF(Knives[[#This Row],[Model]]&lt;&gt;""," "&amp;Knives[[#This Row],[Model]],),".jpg")),"")</f>
        <v/>
      </c>
      <c r="AG168" s="5" t="str">
        <f t="shared" si="5"/>
        <v/>
      </c>
    </row>
    <row r="169" spans="2:33" x14ac:dyDescent="0.25">
      <c r="B169" s="80" t="str">
        <f t="shared" si="4"/>
        <v/>
      </c>
      <c r="C169" s="78"/>
      <c r="D169" s="78"/>
      <c r="E169" s="78"/>
      <c r="F169" s="47"/>
      <c r="G169" s="47"/>
      <c r="H169" s="47"/>
      <c r="I169" s="47"/>
      <c r="J169" s="47"/>
      <c r="K169" s="44"/>
      <c r="L169" s="47"/>
      <c r="M169" s="47"/>
      <c r="N169" s="47"/>
      <c r="O169" s="47"/>
      <c r="P169" s="78"/>
      <c r="Q169" s="44"/>
      <c r="R169" s="78"/>
      <c r="S169" s="47"/>
      <c r="T169" s="47"/>
      <c r="U169" s="111"/>
      <c r="V169" s="47"/>
      <c r="W169" s="47"/>
      <c r="X169" s="147"/>
      <c r="Y169" s="78"/>
      <c r="Z169" s="47"/>
      <c r="AA169" s="47"/>
      <c r="AB169" s="47"/>
      <c r="AC169" s="47"/>
      <c r="AD169" s="78"/>
      <c r="AE169" s="90" t="str">
        <f>IF(C169&lt;&gt;"",HYPERLINK(CONCATENATE(SheetName01,"\",Knives[[#This Row],[Manufacturer]],IF(Knives[[#This Row],[Model]]&lt;&gt;""," "&amp;Knives[[#This Row],[Model]],),".jpg"),CONCATENATE(Knives[[#This Row],[Manufacturer]],IF(Knives[[#This Row],[Model]]&lt;&gt;""," "&amp;Knives[[#This Row],[Model]],),".jpg")),"")</f>
        <v/>
      </c>
      <c r="AG169" s="5" t="str">
        <f t="shared" si="5"/>
        <v/>
      </c>
    </row>
    <row r="170" spans="2:33" x14ac:dyDescent="0.25">
      <c r="B170" s="80" t="str">
        <f t="shared" si="4"/>
        <v/>
      </c>
      <c r="C170" s="78"/>
      <c r="D170" s="78"/>
      <c r="E170" s="78"/>
      <c r="F170" s="47"/>
      <c r="G170" s="47"/>
      <c r="H170" s="47"/>
      <c r="I170" s="47"/>
      <c r="J170" s="47"/>
      <c r="K170" s="44"/>
      <c r="L170" s="47"/>
      <c r="M170" s="47"/>
      <c r="N170" s="47"/>
      <c r="O170" s="47"/>
      <c r="P170" s="78"/>
      <c r="Q170" s="44"/>
      <c r="R170" s="78"/>
      <c r="S170" s="47"/>
      <c r="T170" s="47"/>
      <c r="U170" s="111"/>
      <c r="V170" s="47"/>
      <c r="W170" s="47"/>
      <c r="X170" s="147"/>
      <c r="Y170" s="78"/>
      <c r="Z170" s="47"/>
      <c r="AA170" s="47"/>
      <c r="AB170" s="47"/>
      <c r="AC170" s="47"/>
      <c r="AD170" s="78"/>
      <c r="AE170" s="90" t="str">
        <f>IF(C170&lt;&gt;"",HYPERLINK(CONCATENATE(SheetName01,"\",Knives[[#This Row],[Manufacturer]],IF(Knives[[#This Row],[Model]]&lt;&gt;""," "&amp;Knives[[#This Row],[Model]],),".jpg"),CONCATENATE(Knives[[#This Row],[Manufacturer]],IF(Knives[[#This Row],[Model]]&lt;&gt;""," "&amp;Knives[[#This Row],[Model]],),".jpg")),"")</f>
        <v/>
      </c>
      <c r="AG170" s="5" t="str">
        <f t="shared" si="5"/>
        <v/>
      </c>
    </row>
    <row r="171" spans="2:33" x14ac:dyDescent="0.25">
      <c r="B171" s="80" t="str">
        <f t="shared" si="4"/>
        <v/>
      </c>
      <c r="C171" s="78"/>
      <c r="D171" s="78"/>
      <c r="E171" s="78"/>
      <c r="F171" s="47"/>
      <c r="G171" s="47"/>
      <c r="H171" s="47"/>
      <c r="I171" s="47"/>
      <c r="J171" s="47"/>
      <c r="K171" s="44"/>
      <c r="L171" s="47"/>
      <c r="M171" s="47"/>
      <c r="N171" s="47"/>
      <c r="O171" s="47"/>
      <c r="P171" s="78"/>
      <c r="Q171" s="44"/>
      <c r="R171" s="78"/>
      <c r="S171" s="47"/>
      <c r="T171" s="47"/>
      <c r="U171" s="111"/>
      <c r="V171" s="47"/>
      <c r="W171" s="47"/>
      <c r="X171" s="147"/>
      <c r="Y171" s="78"/>
      <c r="Z171" s="47"/>
      <c r="AA171" s="47"/>
      <c r="AB171" s="47"/>
      <c r="AC171" s="47"/>
      <c r="AD171" s="78"/>
      <c r="AE171" s="90" t="str">
        <f>IF(C171&lt;&gt;"",HYPERLINK(CONCATENATE(SheetName01,"\",Knives[[#This Row],[Manufacturer]],IF(Knives[[#This Row],[Model]]&lt;&gt;""," "&amp;Knives[[#This Row],[Model]],),".jpg"),CONCATENATE(Knives[[#This Row],[Manufacturer]],IF(Knives[[#This Row],[Model]]&lt;&gt;""," "&amp;Knives[[#This Row],[Model]],),".jpg")),"")</f>
        <v/>
      </c>
      <c r="AG171" s="5" t="str">
        <f t="shared" si="5"/>
        <v/>
      </c>
    </row>
    <row r="172" spans="2:33" x14ac:dyDescent="0.25">
      <c r="B172" s="80" t="str">
        <f t="shared" si="4"/>
        <v/>
      </c>
      <c r="C172" s="78"/>
      <c r="D172" s="78"/>
      <c r="E172" s="78"/>
      <c r="F172" s="47"/>
      <c r="G172" s="47"/>
      <c r="H172" s="47"/>
      <c r="I172" s="47"/>
      <c r="J172" s="47"/>
      <c r="K172" s="44"/>
      <c r="L172" s="47"/>
      <c r="M172" s="47"/>
      <c r="N172" s="47"/>
      <c r="O172" s="47"/>
      <c r="P172" s="78"/>
      <c r="Q172" s="44"/>
      <c r="R172" s="78"/>
      <c r="S172" s="47"/>
      <c r="T172" s="47"/>
      <c r="U172" s="111"/>
      <c r="V172" s="47"/>
      <c r="W172" s="47"/>
      <c r="X172" s="147"/>
      <c r="Y172" s="78"/>
      <c r="Z172" s="47"/>
      <c r="AA172" s="47"/>
      <c r="AB172" s="47"/>
      <c r="AC172" s="47"/>
      <c r="AD172" s="78"/>
      <c r="AE172" s="90" t="str">
        <f>IF(C172&lt;&gt;"",HYPERLINK(CONCATENATE(SheetName01,"\",Knives[[#This Row],[Manufacturer]],IF(Knives[[#This Row],[Model]]&lt;&gt;""," "&amp;Knives[[#This Row],[Model]],),".jpg"),CONCATENATE(Knives[[#This Row],[Manufacturer]],IF(Knives[[#This Row],[Model]]&lt;&gt;""," "&amp;Knives[[#This Row],[Model]],),".jpg")),"")</f>
        <v/>
      </c>
      <c r="AG172" s="5" t="str">
        <f t="shared" si="5"/>
        <v/>
      </c>
    </row>
    <row r="173" spans="2:33" x14ac:dyDescent="0.25">
      <c r="B173" s="80" t="str">
        <f t="shared" si="4"/>
        <v/>
      </c>
      <c r="C173" s="78"/>
      <c r="D173" s="78"/>
      <c r="E173" s="78"/>
      <c r="F173" s="47"/>
      <c r="G173" s="47"/>
      <c r="H173" s="47"/>
      <c r="I173" s="47"/>
      <c r="J173" s="47"/>
      <c r="K173" s="44"/>
      <c r="L173" s="47"/>
      <c r="M173" s="47"/>
      <c r="N173" s="47"/>
      <c r="O173" s="47"/>
      <c r="P173" s="78"/>
      <c r="Q173" s="44"/>
      <c r="R173" s="78"/>
      <c r="S173" s="47"/>
      <c r="T173" s="47"/>
      <c r="U173" s="111"/>
      <c r="V173" s="47"/>
      <c r="W173" s="47"/>
      <c r="X173" s="147"/>
      <c r="Y173" s="78"/>
      <c r="Z173" s="47"/>
      <c r="AA173" s="47"/>
      <c r="AB173" s="47"/>
      <c r="AC173" s="47"/>
      <c r="AD173" s="78"/>
      <c r="AE173" s="90" t="str">
        <f>IF(C173&lt;&gt;"",HYPERLINK(CONCATENATE(SheetName01,"\",Knives[[#This Row],[Manufacturer]],IF(Knives[[#This Row],[Model]]&lt;&gt;""," "&amp;Knives[[#This Row],[Model]],),".jpg"),CONCATENATE(Knives[[#This Row],[Manufacturer]],IF(Knives[[#This Row],[Model]]&lt;&gt;""," "&amp;Knives[[#This Row],[Model]],),".jpg")),"")</f>
        <v/>
      </c>
      <c r="AG173" s="5" t="str">
        <f t="shared" si="5"/>
        <v/>
      </c>
    </row>
    <row r="174" spans="2:33" x14ac:dyDescent="0.25">
      <c r="B174" s="80" t="str">
        <f t="shared" si="4"/>
        <v/>
      </c>
      <c r="C174" s="78"/>
      <c r="D174" s="78"/>
      <c r="E174" s="78"/>
      <c r="F174" s="47"/>
      <c r="G174" s="47"/>
      <c r="H174" s="47"/>
      <c r="I174" s="47"/>
      <c r="J174" s="47"/>
      <c r="K174" s="44"/>
      <c r="L174" s="47"/>
      <c r="M174" s="47"/>
      <c r="N174" s="47"/>
      <c r="O174" s="47"/>
      <c r="P174" s="78"/>
      <c r="Q174" s="44"/>
      <c r="R174" s="78"/>
      <c r="S174" s="47"/>
      <c r="T174" s="47"/>
      <c r="U174" s="111"/>
      <c r="V174" s="47"/>
      <c r="W174" s="47"/>
      <c r="X174" s="147"/>
      <c r="Y174" s="78"/>
      <c r="Z174" s="47"/>
      <c r="AA174" s="47"/>
      <c r="AB174" s="47"/>
      <c r="AC174" s="47"/>
      <c r="AD174" s="78"/>
      <c r="AE174" s="90" t="str">
        <f>IF(C174&lt;&gt;"",HYPERLINK(CONCATENATE(SheetName01,"\",Knives[[#This Row],[Manufacturer]],IF(Knives[[#This Row],[Model]]&lt;&gt;""," "&amp;Knives[[#This Row],[Model]],),".jpg"),CONCATENATE(Knives[[#This Row],[Manufacturer]],IF(Knives[[#This Row],[Model]]&lt;&gt;""," "&amp;Knives[[#This Row],[Model]],),".jpg")),"")</f>
        <v/>
      </c>
      <c r="AG174" s="5" t="str">
        <f t="shared" si="5"/>
        <v/>
      </c>
    </row>
    <row r="175" spans="2:33" x14ac:dyDescent="0.25">
      <c r="B175" s="80" t="str">
        <f t="shared" si="4"/>
        <v/>
      </c>
      <c r="C175" s="78"/>
      <c r="D175" s="78"/>
      <c r="E175" s="78"/>
      <c r="F175" s="47"/>
      <c r="G175" s="47"/>
      <c r="H175" s="47"/>
      <c r="I175" s="47"/>
      <c r="J175" s="47"/>
      <c r="K175" s="44"/>
      <c r="L175" s="47"/>
      <c r="M175" s="47"/>
      <c r="N175" s="47"/>
      <c r="O175" s="47"/>
      <c r="P175" s="78"/>
      <c r="Q175" s="44"/>
      <c r="R175" s="78"/>
      <c r="S175" s="47"/>
      <c r="T175" s="47"/>
      <c r="U175" s="111"/>
      <c r="V175" s="47"/>
      <c r="W175" s="47"/>
      <c r="X175" s="147"/>
      <c r="Y175" s="78"/>
      <c r="Z175" s="47"/>
      <c r="AA175" s="47"/>
      <c r="AB175" s="47"/>
      <c r="AC175" s="47"/>
      <c r="AD175" s="78"/>
      <c r="AE175" s="90" t="str">
        <f>IF(C175&lt;&gt;"",HYPERLINK(CONCATENATE(SheetName01,"\",Knives[[#This Row],[Manufacturer]],IF(Knives[[#This Row],[Model]]&lt;&gt;""," "&amp;Knives[[#This Row],[Model]],),".jpg"),CONCATENATE(Knives[[#This Row],[Manufacturer]],IF(Knives[[#This Row],[Model]]&lt;&gt;""," "&amp;Knives[[#This Row],[Model]],),".jpg")),"")</f>
        <v/>
      </c>
      <c r="AG175" s="5" t="str">
        <f t="shared" si="5"/>
        <v/>
      </c>
    </row>
    <row r="176" spans="2:33" x14ac:dyDescent="0.25">
      <c r="B176" s="80" t="str">
        <f t="shared" si="4"/>
        <v/>
      </c>
      <c r="C176" s="78"/>
      <c r="D176" s="78"/>
      <c r="E176" s="78"/>
      <c r="F176" s="47"/>
      <c r="G176" s="47"/>
      <c r="H176" s="47"/>
      <c r="I176" s="47"/>
      <c r="J176" s="47"/>
      <c r="K176" s="44"/>
      <c r="L176" s="47"/>
      <c r="M176" s="47"/>
      <c r="N176" s="47"/>
      <c r="O176" s="47"/>
      <c r="P176" s="78"/>
      <c r="Q176" s="44"/>
      <c r="R176" s="78"/>
      <c r="S176" s="47"/>
      <c r="T176" s="47"/>
      <c r="U176" s="111"/>
      <c r="V176" s="47"/>
      <c r="W176" s="47"/>
      <c r="X176" s="147"/>
      <c r="Y176" s="78"/>
      <c r="Z176" s="47"/>
      <c r="AA176" s="47"/>
      <c r="AB176" s="47"/>
      <c r="AC176" s="47"/>
      <c r="AD176" s="78"/>
      <c r="AE176" s="90" t="str">
        <f>IF(C176&lt;&gt;"",HYPERLINK(CONCATENATE(SheetName01,"\",Knives[[#This Row],[Manufacturer]],IF(Knives[[#This Row],[Model]]&lt;&gt;""," "&amp;Knives[[#This Row],[Model]],),".jpg"),CONCATENATE(Knives[[#This Row],[Manufacturer]],IF(Knives[[#This Row],[Model]]&lt;&gt;""," "&amp;Knives[[#This Row],[Model]],),".jpg")),"")</f>
        <v/>
      </c>
      <c r="AG176" s="5" t="str">
        <f t="shared" si="5"/>
        <v/>
      </c>
    </row>
    <row r="177" spans="2:33" x14ac:dyDescent="0.25">
      <c r="B177" s="80" t="str">
        <f t="shared" si="4"/>
        <v/>
      </c>
      <c r="C177" s="78"/>
      <c r="D177" s="78"/>
      <c r="E177" s="78"/>
      <c r="F177" s="47"/>
      <c r="G177" s="47"/>
      <c r="H177" s="47"/>
      <c r="I177" s="47"/>
      <c r="J177" s="47"/>
      <c r="K177" s="44"/>
      <c r="L177" s="47"/>
      <c r="M177" s="47"/>
      <c r="N177" s="47"/>
      <c r="O177" s="47"/>
      <c r="P177" s="78"/>
      <c r="Q177" s="44"/>
      <c r="R177" s="78"/>
      <c r="S177" s="47"/>
      <c r="T177" s="47"/>
      <c r="U177" s="111"/>
      <c r="V177" s="47"/>
      <c r="W177" s="47"/>
      <c r="X177" s="147"/>
      <c r="Y177" s="78"/>
      <c r="Z177" s="47"/>
      <c r="AA177" s="47"/>
      <c r="AB177" s="47"/>
      <c r="AC177" s="47"/>
      <c r="AD177" s="78"/>
      <c r="AE177" s="90" t="str">
        <f>IF(C177&lt;&gt;"",HYPERLINK(CONCATENATE(SheetName01,"\",Knives[[#This Row],[Manufacturer]],IF(Knives[[#This Row],[Model]]&lt;&gt;""," "&amp;Knives[[#This Row],[Model]],),".jpg"),CONCATENATE(Knives[[#This Row],[Manufacturer]],IF(Knives[[#This Row],[Model]]&lt;&gt;""," "&amp;Knives[[#This Row],[Model]],),".jpg")),"")</f>
        <v/>
      </c>
      <c r="AG177" s="5" t="str">
        <f t="shared" si="5"/>
        <v/>
      </c>
    </row>
    <row r="178" spans="2:33" x14ac:dyDescent="0.25">
      <c r="B178" s="80" t="str">
        <f t="shared" si="4"/>
        <v/>
      </c>
      <c r="C178" s="78"/>
      <c r="D178" s="78"/>
      <c r="E178" s="78"/>
      <c r="F178" s="47"/>
      <c r="G178" s="47"/>
      <c r="H178" s="47"/>
      <c r="I178" s="47"/>
      <c r="J178" s="47"/>
      <c r="K178" s="44"/>
      <c r="L178" s="47"/>
      <c r="M178" s="47"/>
      <c r="N178" s="47"/>
      <c r="O178" s="47"/>
      <c r="P178" s="78"/>
      <c r="Q178" s="44"/>
      <c r="R178" s="78"/>
      <c r="S178" s="47"/>
      <c r="T178" s="47"/>
      <c r="U178" s="111"/>
      <c r="V178" s="47"/>
      <c r="W178" s="47"/>
      <c r="X178" s="147"/>
      <c r="Y178" s="78"/>
      <c r="Z178" s="47"/>
      <c r="AA178" s="47"/>
      <c r="AB178" s="47"/>
      <c r="AC178" s="47"/>
      <c r="AD178" s="78"/>
      <c r="AE178" s="90" t="str">
        <f>IF(C178&lt;&gt;"",HYPERLINK(CONCATENATE(SheetName01,"\",Knives[[#This Row],[Manufacturer]],IF(Knives[[#This Row],[Model]]&lt;&gt;""," "&amp;Knives[[#This Row],[Model]],),".jpg"),CONCATENATE(Knives[[#This Row],[Manufacturer]],IF(Knives[[#This Row],[Model]]&lt;&gt;""," "&amp;Knives[[#This Row],[Model]],),".jpg")),"")</f>
        <v/>
      </c>
      <c r="AG178" s="5" t="str">
        <f t="shared" si="5"/>
        <v/>
      </c>
    </row>
    <row r="179" spans="2:33" x14ac:dyDescent="0.25">
      <c r="B179" s="80" t="str">
        <f t="shared" si="4"/>
        <v/>
      </c>
      <c r="C179" s="78"/>
      <c r="D179" s="78"/>
      <c r="E179" s="78"/>
      <c r="F179" s="47"/>
      <c r="G179" s="47"/>
      <c r="H179" s="47"/>
      <c r="I179" s="47"/>
      <c r="J179" s="47"/>
      <c r="K179" s="44"/>
      <c r="L179" s="47"/>
      <c r="M179" s="47"/>
      <c r="N179" s="47"/>
      <c r="O179" s="47"/>
      <c r="P179" s="78"/>
      <c r="Q179" s="44"/>
      <c r="R179" s="78"/>
      <c r="S179" s="47"/>
      <c r="T179" s="47"/>
      <c r="U179" s="111"/>
      <c r="V179" s="47"/>
      <c r="W179" s="47"/>
      <c r="X179" s="147"/>
      <c r="Y179" s="78"/>
      <c r="Z179" s="47"/>
      <c r="AA179" s="47"/>
      <c r="AB179" s="47"/>
      <c r="AC179" s="47"/>
      <c r="AD179" s="78"/>
      <c r="AE179" s="90" t="str">
        <f>IF(C179&lt;&gt;"",HYPERLINK(CONCATENATE(SheetName01,"\",Knives[[#This Row],[Manufacturer]],IF(Knives[[#This Row],[Model]]&lt;&gt;""," "&amp;Knives[[#This Row],[Model]],),".jpg"),CONCATENATE(Knives[[#This Row],[Manufacturer]],IF(Knives[[#This Row],[Model]]&lt;&gt;""," "&amp;Knives[[#This Row],[Model]],),".jpg")),"")</f>
        <v/>
      </c>
      <c r="AG179" s="5" t="str">
        <f t="shared" si="5"/>
        <v/>
      </c>
    </row>
    <row r="180" spans="2:33" x14ac:dyDescent="0.25">
      <c r="B180" s="80" t="str">
        <f t="shared" si="4"/>
        <v/>
      </c>
      <c r="C180" s="78"/>
      <c r="D180" s="78"/>
      <c r="E180" s="78"/>
      <c r="F180" s="47"/>
      <c r="G180" s="47"/>
      <c r="H180" s="47"/>
      <c r="I180" s="47"/>
      <c r="J180" s="47"/>
      <c r="K180" s="44"/>
      <c r="L180" s="47"/>
      <c r="M180" s="47"/>
      <c r="N180" s="47"/>
      <c r="O180" s="47"/>
      <c r="P180" s="78"/>
      <c r="Q180" s="44"/>
      <c r="R180" s="78"/>
      <c r="S180" s="47"/>
      <c r="T180" s="47"/>
      <c r="U180" s="111"/>
      <c r="V180" s="47"/>
      <c r="W180" s="47"/>
      <c r="X180" s="147"/>
      <c r="Y180" s="78"/>
      <c r="Z180" s="47"/>
      <c r="AA180" s="47"/>
      <c r="AB180" s="47"/>
      <c r="AC180" s="47"/>
      <c r="AD180" s="78"/>
      <c r="AE180" s="90" t="str">
        <f>IF(C180&lt;&gt;"",HYPERLINK(CONCATENATE(SheetName01,"\",Knives[[#This Row],[Manufacturer]],IF(Knives[[#This Row],[Model]]&lt;&gt;""," "&amp;Knives[[#This Row],[Model]],),".jpg"),CONCATENATE(Knives[[#This Row],[Manufacturer]],IF(Knives[[#This Row],[Model]]&lt;&gt;""," "&amp;Knives[[#This Row],[Model]],),".jpg")),"")</f>
        <v/>
      </c>
      <c r="AG180" s="5" t="str">
        <f t="shared" si="5"/>
        <v/>
      </c>
    </row>
    <row r="181" spans="2:33" x14ac:dyDescent="0.25">
      <c r="B181" s="80" t="str">
        <f t="shared" si="4"/>
        <v/>
      </c>
      <c r="C181" s="78"/>
      <c r="D181" s="78"/>
      <c r="E181" s="78"/>
      <c r="F181" s="47"/>
      <c r="G181" s="47"/>
      <c r="H181" s="47"/>
      <c r="I181" s="47"/>
      <c r="J181" s="47"/>
      <c r="K181" s="44"/>
      <c r="L181" s="47"/>
      <c r="M181" s="47"/>
      <c r="N181" s="47"/>
      <c r="O181" s="47"/>
      <c r="P181" s="78"/>
      <c r="Q181" s="44"/>
      <c r="R181" s="78"/>
      <c r="S181" s="47"/>
      <c r="T181" s="47"/>
      <c r="U181" s="111"/>
      <c r="V181" s="47"/>
      <c r="W181" s="47"/>
      <c r="X181" s="147"/>
      <c r="Y181" s="78"/>
      <c r="Z181" s="47"/>
      <c r="AA181" s="47"/>
      <c r="AB181" s="47"/>
      <c r="AC181" s="47"/>
      <c r="AD181" s="78"/>
      <c r="AE181" s="90" t="str">
        <f>IF(C181&lt;&gt;"",HYPERLINK(CONCATENATE(SheetName01,"\",Knives[[#This Row],[Manufacturer]],IF(Knives[[#This Row],[Model]]&lt;&gt;""," "&amp;Knives[[#This Row],[Model]],),".jpg"),CONCATENATE(Knives[[#This Row],[Manufacturer]],IF(Knives[[#This Row],[Model]]&lt;&gt;""," "&amp;Knives[[#This Row],[Model]],),".jpg")),"")</f>
        <v/>
      </c>
      <c r="AG181" s="5" t="str">
        <f t="shared" si="5"/>
        <v/>
      </c>
    </row>
    <row r="182" spans="2:33" x14ac:dyDescent="0.25">
      <c r="B182" s="80" t="str">
        <f t="shared" si="4"/>
        <v/>
      </c>
      <c r="C182" s="78"/>
      <c r="D182" s="78"/>
      <c r="E182" s="78"/>
      <c r="F182" s="47"/>
      <c r="G182" s="47"/>
      <c r="H182" s="47"/>
      <c r="I182" s="47"/>
      <c r="J182" s="47"/>
      <c r="K182" s="44"/>
      <c r="L182" s="47"/>
      <c r="M182" s="47"/>
      <c r="N182" s="47"/>
      <c r="O182" s="47"/>
      <c r="P182" s="78"/>
      <c r="Q182" s="44"/>
      <c r="R182" s="78"/>
      <c r="S182" s="47"/>
      <c r="T182" s="47"/>
      <c r="U182" s="111"/>
      <c r="V182" s="47"/>
      <c r="W182" s="47"/>
      <c r="X182" s="147"/>
      <c r="Y182" s="78"/>
      <c r="Z182" s="47"/>
      <c r="AA182" s="47"/>
      <c r="AB182" s="47"/>
      <c r="AC182" s="47"/>
      <c r="AD182" s="78"/>
      <c r="AE182" s="90" t="str">
        <f>IF(C182&lt;&gt;"",HYPERLINK(CONCATENATE(SheetName01,"\",Knives[[#This Row],[Manufacturer]],IF(Knives[[#This Row],[Model]]&lt;&gt;""," "&amp;Knives[[#This Row],[Model]],),".jpg"),CONCATENATE(Knives[[#This Row],[Manufacturer]],IF(Knives[[#This Row],[Model]]&lt;&gt;""," "&amp;Knives[[#This Row],[Model]],),".jpg")),"")</f>
        <v/>
      </c>
      <c r="AG182" s="5" t="str">
        <f t="shared" si="5"/>
        <v/>
      </c>
    </row>
    <row r="183" spans="2:33" x14ac:dyDescent="0.25">
      <c r="B183" s="80" t="str">
        <f t="shared" si="4"/>
        <v/>
      </c>
      <c r="C183" s="78"/>
      <c r="D183" s="78"/>
      <c r="E183" s="78"/>
      <c r="F183" s="47"/>
      <c r="G183" s="47"/>
      <c r="H183" s="47"/>
      <c r="I183" s="47"/>
      <c r="J183" s="47"/>
      <c r="K183" s="44"/>
      <c r="L183" s="47"/>
      <c r="M183" s="47"/>
      <c r="N183" s="47"/>
      <c r="O183" s="47"/>
      <c r="P183" s="78"/>
      <c r="Q183" s="44"/>
      <c r="R183" s="78"/>
      <c r="S183" s="47"/>
      <c r="T183" s="47"/>
      <c r="U183" s="111"/>
      <c r="V183" s="47"/>
      <c r="W183" s="47"/>
      <c r="X183" s="147"/>
      <c r="Y183" s="78"/>
      <c r="Z183" s="47"/>
      <c r="AA183" s="47"/>
      <c r="AB183" s="47"/>
      <c r="AC183" s="47"/>
      <c r="AD183" s="78"/>
      <c r="AE183" s="90" t="str">
        <f>IF(C183&lt;&gt;"",HYPERLINK(CONCATENATE(SheetName01,"\",Knives[[#This Row],[Manufacturer]],IF(Knives[[#This Row],[Model]]&lt;&gt;""," "&amp;Knives[[#This Row],[Model]],),".jpg"),CONCATENATE(Knives[[#This Row],[Manufacturer]],IF(Knives[[#This Row],[Model]]&lt;&gt;""," "&amp;Knives[[#This Row],[Model]],),".jpg")),"")</f>
        <v/>
      </c>
      <c r="AG183" s="5" t="str">
        <f t="shared" si="5"/>
        <v/>
      </c>
    </row>
    <row r="184" spans="2:33" x14ac:dyDescent="0.25">
      <c r="B184" s="80" t="str">
        <f t="shared" si="4"/>
        <v/>
      </c>
      <c r="C184" s="78"/>
      <c r="D184" s="78"/>
      <c r="E184" s="78"/>
      <c r="F184" s="47"/>
      <c r="G184" s="47"/>
      <c r="H184" s="47"/>
      <c r="I184" s="47"/>
      <c r="J184" s="47"/>
      <c r="K184" s="44"/>
      <c r="L184" s="47"/>
      <c r="M184" s="47"/>
      <c r="N184" s="47"/>
      <c r="O184" s="47"/>
      <c r="P184" s="78"/>
      <c r="Q184" s="44"/>
      <c r="R184" s="78"/>
      <c r="S184" s="47"/>
      <c r="T184" s="47"/>
      <c r="U184" s="111"/>
      <c r="V184" s="47"/>
      <c r="W184" s="47"/>
      <c r="X184" s="147"/>
      <c r="Y184" s="78"/>
      <c r="Z184" s="47"/>
      <c r="AA184" s="47"/>
      <c r="AB184" s="47"/>
      <c r="AC184" s="47"/>
      <c r="AD184" s="78"/>
      <c r="AE184" s="90" t="str">
        <f>IF(C184&lt;&gt;"",HYPERLINK(CONCATENATE(SheetName01,"\",Knives[[#This Row],[Manufacturer]],IF(Knives[[#This Row],[Model]]&lt;&gt;""," "&amp;Knives[[#This Row],[Model]],),".jpg"),CONCATENATE(Knives[[#This Row],[Manufacturer]],IF(Knives[[#This Row],[Model]]&lt;&gt;""," "&amp;Knives[[#This Row],[Model]],),".jpg")),"")</f>
        <v/>
      </c>
      <c r="AG184" s="5" t="str">
        <f t="shared" si="5"/>
        <v/>
      </c>
    </row>
    <row r="185" spans="2:33" x14ac:dyDescent="0.25">
      <c r="B185" s="80" t="str">
        <f t="shared" si="4"/>
        <v/>
      </c>
      <c r="C185" s="78"/>
      <c r="D185" s="78"/>
      <c r="E185" s="78"/>
      <c r="F185" s="47"/>
      <c r="G185" s="47"/>
      <c r="H185" s="47"/>
      <c r="I185" s="47"/>
      <c r="J185" s="47"/>
      <c r="K185" s="44"/>
      <c r="L185" s="47"/>
      <c r="M185" s="47"/>
      <c r="N185" s="47"/>
      <c r="O185" s="47"/>
      <c r="P185" s="78"/>
      <c r="Q185" s="44"/>
      <c r="R185" s="78"/>
      <c r="S185" s="47"/>
      <c r="T185" s="47"/>
      <c r="U185" s="111"/>
      <c r="V185" s="47"/>
      <c r="W185" s="47"/>
      <c r="X185" s="147"/>
      <c r="Y185" s="78"/>
      <c r="Z185" s="47"/>
      <c r="AA185" s="47"/>
      <c r="AB185" s="47"/>
      <c r="AC185" s="47"/>
      <c r="AD185" s="78"/>
      <c r="AE185" s="90" t="str">
        <f>IF(C185&lt;&gt;"",HYPERLINK(CONCATENATE(SheetName01,"\",Knives[[#This Row],[Manufacturer]],IF(Knives[[#This Row],[Model]]&lt;&gt;""," "&amp;Knives[[#This Row],[Model]],),".jpg"),CONCATENATE(Knives[[#This Row],[Manufacturer]],IF(Knives[[#This Row],[Model]]&lt;&gt;""," "&amp;Knives[[#This Row],[Model]],),".jpg")),"")</f>
        <v/>
      </c>
      <c r="AG185" s="5" t="str">
        <f t="shared" si="5"/>
        <v/>
      </c>
    </row>
    <row r="186" spans="2:33" x14ac:dyDescent="0.25">
      <c r="B186" s="80" t="str">
        <f t="shared" si="4"/>
        <v/>
      </c>
      <c r="C186" s="78"/>
      <c r="D186" s="78"/>
      <c r="E186" s="78"/>
      <c r="F186" s="47"/>
      <c r="G186" s="47"/>
      <c r="H186" s="47"/>
      <c r="I186" s="47"/>
      <c r="J186" s="47"/>
      <c r="K186" s="44"/>
      <c r="L186" s="47"/>
      <c r="M186" s="47"/>
      <c r="N186" s="47"/>
      <c r="O186" s="47"/>
      <c r="P186" s="78"/>
      <c r="Q186" s="44"/>
      <c r="R186" s="78"/>
      <c r="S186" s="47"/>
      <c r="T186" s="47"/>
      <c r="U186" s="111"/>
      <c r="V186" s="47"/>
      <c r="W186" s="47"/>
      <c r="X186" s="147"/>
      <c r="Y186" s="78"/>
      <c r="Z186" s="47"/>
      <c r="AA186" s="47"/>
      <c r="AB186" s="47"/>
      <c r="AC186" s="47"/>
      <c r="AD186" s="78"/>
      <c r="AE186" s="90" t="str">
        <f>IF(C186&lt;&gt;"",HYPERLINK(CONCATENATE(SheetName01,"\",Knives[[#This Row],[Manufacturer]],IF(Knives[[#This Row],[Model]]&lt;&gt;""," "&amp;Knives[[#This Row],[Model]],),".jpg"),CONCATENATE(Knives[[#This Row],[Manufacturer]],IF(Knives[[#This Row],[Model]]&lt;&gt;""," "&amp;Knives[[#This Row],[Model]],),".jpg")),"")</f>
        <v/>
      </c>
      <c r="AG186" s="5" t="str">
        <f t="shared" si="5"/>
        <v/>
      </c>
    </row>
    <row r="187" spans="2:33" x14ac:dyDescent="0.25">
      <c r="B187" s="80" t="str">
        <f t="shared" si="4"/>
        <v/>
      </c>
      <c r="C187" s="78"/>
      <c r="D187" s="78"/>
      <c r="E187" s="78"/>
      <c r="F187" s="47"/>
      <c r="G187" s="47"/>
      <c r="H187" s="47"/>
      <c r="I187" s="47"/>
      <c r="J187" s="47"/>
      <c r="K187" s="44"/>
      <c r="L187" s="47"/>
      <c r="M187" s="47"/>
      <c r="N187" s="47"/>
      <c r="O187" s="47"/>
      <c r="P187" s="78"/>
      <c r="Q187" s="44"/>
      <c r="R187" s="78"/>
      <c r="S187" s="47"/>
      <c r="T187" s="47"/>
      <c r="U187" s="111"/>
      <c r="V187" s="47"/>
      <c r="W187" s="47"/>
      <c r="X187" s="147"/>
      <c r="Y187" s="78"/>
      <c r="Z187" s="47"/>
      <c r="AA187" s="47"/>
      <c r="AB187" s="47"/>
      <c r="AC187" s="47"/>
      <c r="AD187" s="78"/>
      <c r="AE187" s="90" t="str">
        <f>IF(C187&lt;&gt;"",HYPERLINK(CONCATENATE(SheetName01,"\",Knives[[#This Row],[Manufacturer]],IF(Knives[[#This Row],[Model]]&lt;&gt;""," "&amp;Knives[[#This Row],[Model]],),".jpg"),CONCATENATE(Knives[[#This Row],[Manufacturer]],IF(Knives[[#This Row],[Model]]&lt;&gt;""," "&amp;Knives[[#This Row],[Model]],),".jpg")),"")</f>
        <v/>
      </c>
      <c r="AG187" s="5" t="str">
        <f t="shared" si="5"/>
        <v/>
      </c>
    </row>
    <row r="188" spans="2:33" x14ac:dyDescent="0.25">
      <c r="B188" s="80" t="str">
        <f t="shared" si="4"/>
        <v/>
      </c>
      <c r="C188" s="78"/>
      <c r="D188" s="78"/>
      <c r="E188" s="78"/>
      <c r="F188" s="47"/>
      <c r="G188" s="47"/>
      <c r="H188" s="47"/>
      <c r="I188" s="47"/>
      <c r="J188" s="47"/>
      <c r="K188" s="44"/>
      <c r="L188" s="47"/>
      <c r="M188" s="47"/>
      <c r="N188" s="47"/>
      <c r="O188" s="47"/>
      <c r="P188" s="78"/>
      <c r="Q188" s="44"/>
      <c r="R188" s="78"/>
      <c r="S188" s="47"/>
      <c r="T188" s="47"/>
      <c r="U188" s="111"/>
      <c r="V188" s="47"/>
      <c r="W188" s="47"/>
      <c r="X188" s="147"/>
      <c r="Y188" s="78"/>
      <c r="Z188" s="47"/>
      <c r="AA188" s="47"/>
      <c r="AB188" s="47"/>
      <c r="AC188" s="47"/>
      <c r="AD188" s="78"/>
      <c r="AE188" s="90" t="str">
        <f>IF(C188&lt;&gt;"",HYPERLINK(CONCATENATE(SheetName01,"\",Knives[[#This Row],[Manufacturer]],IF(Knives[[#This Row],[Model]]&lt;&gt;""," "&amp;Knives[[#This Row],[Model]],),".jpg"),CONCATENATE(Knives[[#This Row],[Manufacturer]],IF(Knives[[#This Row],[Model]]&lt;&gt;""," "&amp;Knives[[#This Row],[Model]],),".jpg")),"")</f>
        <v/>
      </c>
      <c r="AG188" s="5" t="str">
        <f t="shared" si="5"/>
        <v/>
      </c>
    </row>
    <row r="189" spans="2:33" x14ac:dyDescent="0.25">
      <c r="B189" s="80" t="str">
        <f t="shared" si="4"/>
        <v/>
      </c>
      <c r="C189" s="78"/>
      <c r="D189" s="78"/>
      <c r="E189" s="78"/>
      <c r="F189" s="47"/>
      <c r="G189" s="47"/>
      <c r="H189" s="47"/>
      <c r="I189" s="47"/>
      <c r="J189" s="47"/>
      <c r="K189" s="44"/>
      <c r="L189" s="47"/>
      <c r="M189" s="47"/>
      <c r="N189" s="47"/>
      <c r="O189" s="47"/>
      <c r="P189" s="78"/>
      <c r="Q189" s="44"/>
      <c r="R189" s="78"/>
      <c r="S189" s="47"/>
      <c r="T189" s="47"/>
      <c r="U189" s="111"/>
      <c r="V189" s="47"/>
      <c r="W189" s="47"/>
      <c r="X189" s="147"/>
      <c r="Y189" s="78"/>
      <c r="Z189" s="47"/>
      <c r="AA189" s="47"/>
      <c r="AB189" s="47"/>
      <c r="AC189" s="47"/>
      <c r="AD189" s="78"/>
      <c r="AE189" s="90" t="str">
        <f>IF(C189&lt;&gt;"",HYPERLINK(CONCATENATE(SheetName01,"\",Knives[[#This Row],[Manufacturer]],IF(Knives[[#This Row],[Model]]&lt;&gt;""," "&amp;Knives[[#This Row],[Model]],),".jpg"),CONCATENATE(Knives[[#This Row],[Manufacturer]],IF(Knives[[#This Row],[Model]]&lt;&gt;""," "&amp;Knives[[#This Row],[Model]],),".jpg")),"")</f>
        <v/>
      </c>
      <c r="AG189" s="5" t="str">
        <f t="shared" si="5"/>
        <v/>
      </c>
    </row>
    <row r="190" spans="2:33" x14ac:dyDescent="0.25">
      <c r="B190" s="80" t="str">
        <f t="shared" si="4"/>
        <v/>
      </c>
      <c r="C190" s="78"/>
      <c r="D190" s="78"/>
      <c r="E190" s="78"/>
      <c r="F190" s="47"/>
      <c r="G190" s="47"/>
      <c r="H190" s="47"/>
      <c r="I190" s="47"/>
      <c r="J190" s="47"/>
      <c r="K190" s="44"/>
      <c r="L190" s="47"/>
      <c r="M190" s="47"/>
      <c r="N190" s="47"/>
      <c r="O190" s="47"/>
      <c r="P190" s="78"/>
      <c r="Q190" s="44"/>
      <c r="R190" s="78"/>
      <c r="S190" s="47"/>
      <c r="T190" s="47"/>
      <c r="U190" s="111"/>
      <c r="V190" s="47"/>
      <c r="W190" s="47"/>
      <c r="X190" s="147"/>
      <c r="Y190" s="78"/>
      <c r="Z190" s="47"/>
      <c r="AA190" s="47"/>
      <c r="AB190" s="47"/>
      <c r="AC190" s="47"/>
      <c r="AD190" s="78"/>
      <c r="AE190" s="90" t="str">
        <f>IF(C190&lt;&gt;"",HYPERLINK(CONCATENATE(SheetName01,"\",Knives[[#This Row],[Manufacturer]],IF(Knives[[#This Row],[Model]]&lt;&gt;""," "&amp;Knives[[#This Row],[Model]],),".jpg"),CONCATENATE(Knives[[#This Row],[Manufacturer]],IF(Knives[[#This Row],[Model]]&lt;&gt;""," "&amp;Knives[[#This Row],[Model]],),".jpg")),"")</f>
        <v/>
      </c>
      <c r="AG190" s="5" t="str">
        <f t="shared" si="5"/>
        <v/>
      </c>
    </row>
    <row r="191" spans="2:33" x14ac:dyDescent="0.25">
      <c r="B191" s="80" t="str">
        <f t="shared" si="4"/>
        <v/>
      </c>
      <c r="C191" s="78"/>
      <c r="D191" s="78"/>
      <c r="E191" s="78"/>
      <c r="F191" s="47"/>
      <c r="G191" s="47"/>
      <c r="H191" s="47"/>
      <c r="I191" s="47"/>
      <c r="J191" s="47"/>
      <c r="K191" s="44"/>
      <c r="L191" s="47"/>
      <c r="M191" s="47"/>
      <c r="N191" s="47"/>
      <c r="O191" s="47"/>
      <c r="P191" s="78"/>
      <c r="Q191" s="44"/>
      <c r="R191" s="78"/>
      <c r="S191" s="47"/>
      <c r="T191" s="47"/>
      <c r="U191" s="111"/>
      <c r="V191" s="47"/>
      <c r="W191" s="47"/>
      <c r="X191" s="147"/>
      <c r="Y191" s="78"/>
      <c r="Z191" s="47"/>
      <c r="AA191" s="47"/>
      <c r="AB191" s="47"/>
      <c r="AC191" s="47"/>
      <c r="AD191" s="78"/>
      <c r="AE191" s="90" t="str">
        <f>IF(C191&lt;&gt;"",HYPERLINK(CONCATENATE(SheetName01,"\",Knives[[#This Row],[Manufacturer]],IF(Knives[[#This Row],[Model]]&lt;&gt;""," "&amp;Knives[[#This Row],[Model]],),".jpg"),CONCATENATE(Knives[[#This Row],[Manufacturer]],IF(Knives[[#This Row],[Model]]&lt;&gt;""," "&amp;Knives[[#This Row],[Model]],),".jpg")),"")</f>
        <v/>
      </c>
      <c r="AG191" s="5" t="str">
        <f t="shared" si="5"/>
        <v/>
      </c>
    </row>
    <row r="192" spans="2:33" x14ac:dyDescent="0.25">
      <c r="B192" s="80" t="str">
        <f t="shared" si="4"/>
        <v/>
      </c>
      <c r="C192" s="78"/>
      <c r="D192" s="78"/>
      <c r="E192" s="78"/>
      <c r="F192" s="47"/>
      <c r="G192" s="47"/>
      <c r="H192" s="47"/>
      <c r="I192" s="47"/>
      <c r="J192" s="47"/>
      <c r="K192" s="44"/>
      <c r="L192" s="47"/>
      <c r="M192" s="47"/>
      <c r="N192" s="47"/>
      <c r="O192" s="47"/>
      <c r="P192" s="78"/>
      <c r="Q192" s="44"/>
      <c r="R192" s="78"/>
      <c r="S192" s="47"/>
      <c r="T192" s="47"/>
      <c r="U192" s="111"/>
      <c r="V192" s="47"/>
      <c r="W192" s="47"/>
      <c r="X192" s="147"/>
      <c r="Y192" s="78"/>
      <c r="Z192" s="47"/>
      <c r="AA192" s="47"/>
      <c r="AB192" s="47"/>
      <c r="AC192" s="47"/>
      <c r="AD192" s="78"/>
      <c r="AE192" s="90" t="str">
        <f>IF(C192&lt;&gt;"",HYPERLINK(CONCATENATE(SheetName01,"\",Knives[[#This Row],[Manufacturer]],IF(Knives[[#This Row],[Model]]&lt;&gt;""," "&amp;Knives[[#This Row],[Model]],),".jpg"),CONCATENATE(Knives[[#This Row],[Manufacturer]],IF(Knives[[#This Row],[Model]]&lt;&gt;""," "&amp;Knives[[#This Row],[Model]],),".jpg")),"")</f>
        <v/>
      </c>
      <c r="AG192" s="5" t="str">
        <f t="shared" si="5"/>
        <v/>
      </c>
    </row>
    <row r="193" spans="2:33" x14ac:dyDescent="0.25">
      <c r="B193" s="80" t="str">
        <f t="shared" si="4"/>
        <v/>
      </c>
      <c r="C193" s="78"/>
      <c r="D193" s="78"/>
      <c r="E193" s="78"/>
      <c r="F193" s="47"/>
      <c r="G193" s="47"/>
      <c r="H193" s="47"/>
      <c r="I193" s="47"/>
      <c r="J193" s="47"/>
      <c r="K193" s="44"/>
      <c r="L193" s="47"/>
      <c r="M193" s="47"/>
      <c r="N193" s="47"/>
      <c r="O193" s="47"/>
      <c r="P193" s="78"/>
      <c r="Q193" s="44"/>
      <c r="R193" s="78"/>
      <c r="S193" s="47"/>
      <c r="T193" s="47"/>
      <c r="U193" s="111"/>
      <c r="V193" s="47"/>
      <c r="W193" s="47"/>
      <c r="X193" s="147"/>
      <c r="Y193" s="78"/>
      <c r="Z193" s="47"/>
      <c r="AA193" s="47"/>
      <c r="AB193" s="47"/>
      <c r="AC193" s="47"/>
      <c r="AD193" s="78"/>
      <c r="AE193" s="90" t="str">
        <f>IF(C193&lt;&gt;"",HYPERLINK(CONCATENATE(SheetName01,"\",Knives[[#This Row],[Manufacturer]],IF(Knives[[#This Row],[Model]]&lt;&gt;""," "&amp;Knives[[#This Row],[Model]],),".jpg"),CONCATENATE(Knives[[#This Row],[Manufacturer]],IF(Knives[[#This Row],[Model]]&lt;&gt;""," "&amp;Knives[[#This Row],[Model]],),".jpg")),"")</f>
        <v/>
      </c>
      <c r="AG193" s="5" t="str">
        <f t="shared" si="5"/>
        <v/>
      </c>
    </row>
    <row r="194" spans="2:33" x14ac:dyDescent="0.25">
      <c r="B194" s="80" t="str">
        <f t="shared" si="4"/>
        <v/>
      </c>
      <c r="C194" s="78"/>
      <c r="D194" s="78"/>
      <c r="E194" s="78"/>
      <c r="F194" s="47"/>
      <c r="G194" s="47"/>
      <c r="H194" s="47"/>
      <c r="I194" s="47"/>
      <c r="J194" s="47"/>
      <c r="K194" s="44"/>
      <c r="L194" s="47"/>
      <c r="M194" s="47"/>
      <c r="N194" s="47"/>
      <c r="O194" s="47"/>
      <c r="P194" s="78"/>
      <c r="Q194" s="44"/>
      <c r="R194" s="78"/>
      <c r="S194" s="47"/>
      <c r="T194" s="47"/>
      <c r="U194" s="111"/>
      <c r="V194" s="47"/>
      <c r="W194" s="47"/>
      <c r="X194" s="147"/>
      <c r="Y194" s="78"/>
      <c r="Z194" s="47"/>
      <c r="AA194" s="47"/>
      <c r="AB194" s="47"/>
      <c r="AC194" s="47"/>
      <c r="AD194" s="78"/>
      <c r="AE194" s="90" t="str">
        <f>IF(C194&lt;&gt;"",HYPERLINK(CONCATENATE(SheetName01,"\",Knives[[#This Row],[Manufacturer]],IF(Knives[[#This Row],[Model]]&lt;&gt;""," "&amp;Knives[[#This Row],[Model]],),".jpg"),CONCATENATE(Knives[[#This Row],[Manufacturer]],IF(Knives[[#This Row],[Model]]&lt;&gt;""," "&amp;Knives[[#This Row],[Model]],),".jpg")),"")</f>
        <v/>
      </c>
      <c r="AG194" s="5" t="str">
        <f t="shared" si="5"/>
        <v/>
      </c>
    </row>
    <row r="195" spans="2:33" x14ac:dyDescent="0.25">
      <c r="B195" s="80" t="str">
        <f t="shared" si="4"/>
        <v/>
      </c>
      <c r="C195" s="78"/>
      <c r="D195" s="78"/>
      <c r="E195" s="78"/>
      <c r="F195" s="47"/>
      <c r="G195" s="47"/>
      <c r="H195" s="47"/>
      <c r="I195" s="47"/>
      <c r="J195" s="47"/>
      <c r="K195" s="44"/>
      <c r="L195" s="47"/>
      <c r="M195" s="47"/>
      <c r="N195" s="47"/>
      <c r="O195" s="47"/>
      <c r="P195" s="78"/>
      <c r="Q195" s="44"/>
      <c r="R195" s="78"/>
      <c r="S195" s="47"/>
      <c r="T195" s="47"/>
      <c r="U195" s="111"/>
      <c r="V195" s="47"/>
      <c r="W195" s="47"/>
      <c r="X195" s="147"/>
      <c r="Y195" s="78"/>
      <c r="Z195" s="47"/>
      <c r="AA195" s="47"/>
      <c r="AB195" s="47"/>
      <c r="AC195" s="47"/>
      <c r="AD195" s="78"/>
      <c r="AE195" s="90" t="str">
        <f>IF(C195&lt;&gt;"",HYPERLINK(CONCATENATE(SheetName01,"\",Knives[[#This Row],[Manufacturer]],IF(Knives[[#This Row],[Model]]&lt;&gt;""," "&amp;Knives[[#This Row],[Model]],),".jpg"),CONCATENATE(Knives[[#This Row],[Manufacturer]],IF(Knives[[#This Row],[Model]]&lt;&gt;""," "&amp;Knives[[#This Row],[Model]],),".jpg")),"")</f>
        <v/>
      </c>
      <c r="AG195" s="5" t="str">
        <f t="shared" si="5"/>
        <v/>
      </c>
    </row>
    <row r="196" spans="2:33" x14ac:dyDescent="0.25">
      <c r="B196" s="80" t="str">
        <f t="shared" ref="B196:B255" si="6">IF(C196&lt;&gt;"",ROW(A193),"")</f>
        <v/>
      </c>
      <c r="C196" s="78"/>
      <c r="D196" s="78"/>
      <c r="E196" s="78"/>
      <c r="F196" s="47"/>
      <c r="G196" s="47"/>
      <c r="H196" s="47"/>
      <c r="I196" s="47"/>
      <c r="J196" s="47"/>
      <c r="K196" s="44"/>
      <c r="L196" s="47"/>
      <c r="M196" s="47"/>
      <c r="N196" s="47"/>
      <c r="O196" s="47"/>
      <c r="P196" s="78"/>
      <c r="Q196" s="44"/>
      <c r="R196" s="78"/>
      <c r="S196" s="47"/>
      <c r="T196" s="47"/>
      <c r="U196" s="111"/>
      <c r="V196" s="47"/>
      <c r="W196" s="47"/>
      <c r="X196" s="147"/>
      <c r="Y196" s="78"/>
      <c r="Z196" s="47"/>
      <c r="AA196" s="47"/>
      <c r="AB196" s="47"/>
      <c r="AC196" s="47"/>
      <c r="AD196" s="78"/>
      <c r="AE196" s="90" t="str">
        <f>IF(C196&lt;&gt;"",HYPERLINK(CONCATENATE(SheetName01,"\",Knives[[#This Row],[Manufacturer]],IF(Knives[[#This Row],[Model]]&lt;&gt;""," "&amp;Knives[[#This Row],[Model]],),".jpg"),CONCATENATE(Knives[[#This Row],[Manufacturer]],IF(Knives[[#This Row],[Model]]&lt;&gt;""," "&amp;Knives[[#This Row],[Model]],),".jpg")),"")</f>
        <v/>
      </c>
      <c r="AG196" s="5" t="str">
        <f t="shared" si="5"/>
        <v/>
      </c>
    </row>
    <row r="197" spans="2:33" x14ac:dyDescent="0.25">
      <c r="B197" s="80" t="str">
        <f t="shared" si="6"/>
        <v/>
      </c>
      <c r="C197" s="78"/>
      <c r="D197" s="78"/>
      <c r="E197" s="78"/>
      <c r="F197" s="47"/>
      <c r="G197" s="47"/>
      <c r="H197" s="47"/>
      <c r="I197" s="47"/>
      <c r="J197" s="47"/>
      <c r="K197" s="44"/>
      <c r="L197" s="47"/>
      <c r="M197" s="47"/>
      <c r="N197" s="47"/>
      <c r="O197" s="47"/>
      <c r="P197" s="78"/>
      <c r="Q197" s="44"/>
      <c r="R197" s="78"/>
      <c r="S197" s="47"/>
      <c r="T197" s="47"/>
      <c r="U197" s="111"/>
      <c r="V197" s="47"/>
      <c r="W197" s="47"/>
      <c r="X197" s="147"/>
      <c r="Y197" s="78"/>
      <c r="Z197" s="47"/>
      <c r="AA197" s="47"/>
      <c r="AB197" s="47"/>
      <c r="AC197" s="47"/>
      <c r="AD197" s="78"/>
      <c r="AE197" s="90" t="str">
        <f>IF(C197&lt;&gt;"",HYPERLINK(CONCATENATE(SheetName01,"\",Knives[[#This Row],[Manufacturer]],IF(Knives[[#This Row],[Model]]&lt;&gt;""," "&amp;Knives[[#This Row],[Model]],),".jpg"),CONCATENATE(Knives[[#This Row],[Manufacturer]],IF(Knives[[#This Row],[Model]]&lt;&gt;""," "&amp;Knives[[#This Row],[Model]],),".jpg")),"")</f>
        <v/>
      </c>
      <c r="AG197" s="5" t="str">
        <f t="shared" si="5"/>
        <v/>
      </c>
    </row>
    <row r="198" spans="2:33" x14ac:dyDescent="0.25">
      <c r="B198" s="80" t="str">
        <f t="shared" si="6"/>
        <v/>
      </c>
      <c r="C198" s="78"/>
      <c r="D198" s="78"/>
      <c r="E198" s="78"/>
      <c r="F198" s="47"/>
      <c r="G198" s="47"/>
      <c r="H198" s="47"/>
      <c r="I198" s="47"/>
      <c r="J198" s="47"/>
      <c r="K198" s="44"/>
      <c r="L198" s="47"/>
      <c r="M198" s="47"/>
      <c r="N198" s="47"/>
      <c r="O198" s="47"/>
      <c r="P198" s="78"/>
      <c r="Q198" s="44"/>
      <c r="R198" s="78"/>
      <c r="S198" s="47"/>
      <c r="T198" s="47"/>
      <c r="U198" s="111"/>
      <c r="V198" s="47"/>
      <c r="W198" s="47"/>
      <c r="X198" s="147"/>
      <c r="Y198" s="78"/>
      <c r="Z198" s="47"/>
      <c r="AA198" s="47"/>
      <c r="AB198" s="47"/>
      <c r="AC198" s="47"/>
      <c r="AD198" s="78"/>
      <c r="AE198" s="90" t="str">
        <f>IF(C198&lt;&gt;"",HYPERLINK(CONCATENATE(SheetName01,"\",Knives[[#This Row],[Manufacturer]],IF(Knives[[#This Row],[Model]]&lt;&gt;""," "&amp;Knives[[#This Row],[Model]],),".jpg"),CONCATENATE(Knives[[#This Row],[Manufacturer]],IF(Knives[[#This Row],[Model]]&lt;&gt;""," "&amp;Knives[[#This Row],[Model]],),".jpg")),"")</f>
        <v/>
      </c>
      <c r="AG198" s="5" t="str">
        <f t="shared" si="5"/>
        <v/>
      </c>
    </row>
    <row r="199" spans="2:33" x14ac:dyDescent="0.25">
      <c r="B199" s="80" t="str">
        <f t="shared" si="6"/>
        <v/>
      </c>
      <c r="C199" s="78"/>
      <c r="D199" s="78"/>
      <c r="E199" s="78"/>
      <c r="F199" s="47"/>
      <c r="G199" s="47"/>
      <c r="H199" s="47"/>
      <c r="I199" s="47"/>
      <c r="J199" s="47"/>
      <c r="K199" s="44"/>
      <c r="L199" s="47"/>
      <c r="M199" s="47"/>
      <c r="N199" s="47"/>
      <c r="O199" s="47"/>
      <c r="P199" s="78"/>
      <c r="Q199" s="44"/>
      <c r="R199" s="78"/>
      <c r="S199" s="47"/>
      <c r="T199" s="47"/>
      <c r="U199" s="111"/>
      <c r="V199" s="47"/>
      <c r="W199" s="47"/>
      <c r="X199" s="147"/>
      <c r="Y199" s="78"/>
      <c r="Z199" s="47"/>
      <c r="AA199" s="47"/>
      <c r="AB199" s="47"/>
      <c r="AC199" s="47"/>
      <c r="AD199" s="78"/>
      <c r="AE199" s="90" t="str">
        <f>IF(C199&lt;&gt;"",HYPERLINK(CONCATENATE(SheetName01,"\",Knives[[#This Row],[Manufacturer]],IF(Knives[[#This Row],[Model]]&lt;&gt;""," "&amp;Knives[[#This Row],[Model]],),".jpg"),CONCATENATE(Knives[[#This Row],[Manufacturer]],IF(Knives[[#This Row],[Model]]&lt;&gt;""," "&amp;Knives[[#This Row],[Model]],),".jpg")),"")</f>
        <v/>
      </c>
      <c r="AG199" s="5" t="str">
        <f t="shared" ref="AG199:AG255" si="7">IF(B199="","",(CONCATENATE(TEXT(B199,"000")," ",C199," ",D199)))</f>
        <v/>
      </c>
    </row>
    <row r="200" spans="2:33" x14ac:dyDescent="0.25">
      <c r="B200" s="80" t="str">
        <f t="shared" si="6"/>
        <v/>
      </c>
      <c r="C200" s="78"/>
      <c r="D200" s="78"/>
      <c r="E200" s="78"/>
      <c r="F200" s="47"/>
      <c r="G200" s="47"/>
      <c r="H200" s="47"/>
      <c r="I200" s="47"/>
      <c r="J200" s="47"/>
      <c r="K200" s="44"/>
      <c r="L200" s="47"/>
      <c r="M200" s="47"/>
      <c r="N200" s="47"/>
      <c r="O200" s="47"/>
      <c r="P200" s="78"/>
      <c r="Q200" s="44"/>
      <c r="R200" s="78"/>
      <c r="S200" s="47"/>
      <c r="T200" s="47"/>
      <c r="U200" s="111"/>
      <c r="V200" s="47"/>
      <c r="W200" s="47"/>
      <c r="X200" s="147"/>
      <c r="Y200" s="78"/>
      <c r="Z200" s="47"/>
      <c r="AA200" s="47"/>
      <c r="AB200" s="47"/>
      <c r="AC200" s="47"/>
      <c r="AD200" s="78"/>
      <c r="AE200" s="90" t="str">
        <f>IF(C200&lt;&gt;"",HYPERLINK(CONCATENATE(SheetName01,"\",Knives[[#This Row],[Manufacturer]],IF(Knives[[#This Row],[Model]]&lt;&gt;""," "&amp;Knives[[#This Row],[Model]],),".jpg"),CONCATENATE(Knives[[#This Row],[Manufacturer]],IF(Knives[[#This Row],[Model]]&lt;&gt;""," "&amp;Knives[[#This Row],[Model]],),".jpg")),"")</f>
        <v/>
      </c>
      <c r="AG200" s="5" t="str">
        <f t="shared" si="7"/>
        <v/>
      </c>
    </row>
    <row r="201" spans="2:33" x14ac:dyDescent="0.25">
      <c r="B201" s="80" t="str">
        <f t="shared" si="6"/>
        <v/>
      </c>
      <c r="C201" s="78"/>
      <c r="D201" s="78"/>
      <c r="E201" s="78"/>
      <c r="F201" s="47"/>
      <c r="G201" s="47"/>
      <c r="H201" s="47"/>
      <c r="I201" s="47"/>
      <c r="J201" s="47"/>
      <c r="K201" s="44"/>
      <c r="L201" s="47"/>
      <c r="M201" s="47"/>
      <c r="N201" s="47"/>
      <c r="O201" s="47"/>
      <c r="P201" s="78"/>
      <c r="Q201" s="44"/>
      <c r="R201" s="78"/>
      <c r="S201" s="47"/>
      <c r="T201" s="47"/>
      <c r="U201" s="111"/>
      <c r="V201" s="47"/>
      <c r="W201" s="47"/>
      <c r="X201" s="147"/>
      <c r="Y201" s="78"/>
      <c r="Z201" s="47"/>
      <c r="AA201" s="47"/>
      <c r="AB201" s="47"/>
      <c r="AC201" s="47"/>
      <c r="AD201" s="78"/>
      <c r="AE201" s="90" t="str">
        <f>IF(C201&lt;&gt;"",HYPERLINK(CONCATENATE(SheetName01,"\",Knives[[#This Row],[Manufacturer]],IF(Knives[[#This Row],[Model]]&lt;&gt;""," "&amp;Knives[[#This Row],[Model]],),".jpg"),CONCATENATE(Knives[[#This Row],[Manufacturer]],IF(Knives[[#This Row],[Model]]&lt;&gt;""," "&amp;Knives[[#This Row],[Model]],),".jpg")),"")</f>
        <v/>
      </c>
      <c r="AG201" s="5" t="str">
        <f t="shared" si="7"/>
        <v/>
      </c>
    </row>
    <row r="202" spans="2:33" x14ac:dyDescent="0.25">
      <c r="B202" s="80" t="str">
        <f t="shared" si="6"/>
        <v/>
      </c>
      <c r="C202" s="78"/>
      <c r="D202" s="78"/>
      <c r="E202" s="78"/>
      <c r="F202" s="47"/>
      <c r="G202" s="47"/>
      <c r="H202" s="47"/>
      <c r="I202" s="47"/>
      <c r="J202" s="47"/>
      <c r="K202" s="44"/>
      <c r="L202" s="47"/>
      <c r="M202" s="47"/>
      <c r="N202" s="47"/>
      <c r="O202" s="47"/>
      <c r="P202" s="78"/>
      <c r="Q202" s="44"/>
      <c r="R202" s="78"/>
      <c r="S202" s="47"/>
      <c r="T202" s="47"/>
      <c r="U202" s="111"/>
      <c r="V202" s="47"/>
      <c r="W202" s="47"/>
      <c r="X202" s="147"/>
      <c r="Y202" s="78"/>
      <c r="Z202" s="47"/>
      <c r="AA202" s="47"/>
      <c r="AB202" s="47"/>
      <c r="AC202" s="47"/>
      <c r="AD202" s="78"/>
      <c r="AE202" s="90" t="str">
        <f>IF(C202&lt;&gt;"",HYPERLINK(CONCATENATE(SheetName01,"\",Knives[[#This Row],[Manufacturer]],IF(Knives[[#This Row],[Model]]&lt;&gt;""," "&amp;Knives[[#This Row],[Model]],),".jpg"),CONCATENATE(Knives[[#This Row],[Manufacturer]],IF(Knives[[#This Row],[Model]]&lt;&gt;""," "&amp;Knives[[#This Row],[Model]],),".jpg")),"")</f>
        <v/>
      </c>
      <c r="AG202" s="5" t="str">
        <f t="shared" si="7"/>
        <v/>
      </c>
    </row>
    <row r="203" spans="2:33" x14ac:dyDescent="0.25">
      <c r="B203" s="80" t="str">
        <f t="shared" si="6"/>
        <v/>
      </c>
      <c r="C203" s="78"/>
      <c r="D203" s="78"/>
      <c r="E203" s="78"/>
      <c r="F203" s="47"/>
      <c r="G203" s="47"/>
      <c r="H203" s="47"/>
      <c r="I203" s="47"/>
      <c r="J203" s="47"/>
      <c r="K203" s="44"/>
      <c r="L203" s="47"/>
      <c r="M203" s="47"/>
      <c r="N203" s="47"/>
      <c r="O203" s="47"/>
      <c r="P203" s="78"/>
      <c r="Q203" s="44"/>
      <c r="R203" s="78"/>
      <c r="S203" s="47"/>
      <c r="T203" s="47"/>
      <c r="U203" s="111"/>
      <c r="V203" s="47"/>
      <c r="W203" s="47"/>
      <c r="X203" s="147"/>
      <c r="Y203" s="78"/>
      <c r="Z203" s="47"/>
      <c r="AA203" s="47"/>
      <c r="AB203" s="47"/>
      <c r="AC203" s="47"/>
      <c r="AD203" s="78"/>
      <c r="AE203" s="90" t="str">
        <f>IF(C203&lt;&gt;"",HYPERLINK(CONCATENATE(SheetName01,"\",Knives[[#This Row],[Manufacturer]],IF(Knives[[#This Row],[Model]]&lt;&gt;""," "&amp;Knives[[#This Row],[Model]],),".jpg"),CONCATENATE(Knives[[#This Row],[Manufacturer]],IF(Knives[[#This Row],[Model]]&lt;&gt;""," "&amp;Knives[[#This Row],[Model]],),".jpg")),"")</f>
        <v/>
      </c>
      <c r="AG203" s="5" t="str">
        <f t="shared" si="7"/>
        <v/>
      </c>
    </row>
    <row r="204" spans="2:33" x14ac:dyDescent="0.25">
      <c r="B204" s="80" t="str">
        <f t="shared" si="6"/>
        <v/>
      </c>
      <c r="C204" s="78"/>
      <c r="D204" s="78"/>
      <c r="E204" s="78"/>
      <c r="F204" s="47"/>
      <c r="G204" s="47"/>
      <c r="H204" s="47"/>
      <c r="I204" s="47"/>
      <c r="J204" s="47"/>
      <c r="K204" s="44"/>
      <c r="L204" s="47"/>
      <c r="M204" s="47"/>
      <c r="N204" s="47"/>
      <c r="O204" s="47"/>
      <c r="P204" s="78"/>
      <c r="Q204" s="44"/>
      <c r="R204" s="78"/>
      <c r="S204" s="47"/>
      <c r="T204" s="47"/>
      <c r="U204" s="111"/>
      <c r="V204" s="47"/>
      <c r="W204" s="47"/>
      <c r="X204" s="147"/>
      <c r="Y204" s="78"/>
      <c r="Z204" s="47"/>
      <c r="AA204" s="47"/>
      <c r="AB204" s="47"/>
      <c r="AC204" s="47"/>
      <c r="AD204" s="78"/>
      <c r="AE204" s="90" t="str">
        <f>IF(C204&lt;&gt;"",HYPERLINK(CONCATENATE(SheetName01,"\",Knives[[#This Row],[Manufacturer]],IF(Knives[[#This Row],[Model]]&lt;&gt;""," "&amp;Knives[[#This Row],[Model]],),".jpg"),CONCATENATE(Knives[[#This Row],[Manufacturer]],IF(Knives[[#This Row],[Model]]&lt;&gt;""," "&amp;Knives[[#This Row],[Model]],),".jpg")),"")</f>
        <v/>
      </c>
      <c r="AG204" s="5" t="str">
        <f t="shared" si="7"/>
        <v/>
      </c>
    </row>
    <row r="205" spans="2:33" x14ac:dyDescent="0.25">
      <c r="B205" s="80" t="str">
        <f t="shared" si="6"/>
        <v/>
      </c>
      <c r="C205" s="78"/>
      <c r="D205" s="78"/>
      <c r="E205" s="78"/>
      <c r="F205" s="47"/>
      <c r="G205" s="47"/>
      <c r="H205" s="47"/>
      <c r="I205" s="47"/>
      <c r="J205" s="47"/>
      <c r="K205" s="44"/>
      <c r="L205" s="47"/>
      <c r="M205" s="47"/>
      <c r="N205" s="47"/>
      <c r="O205" s="47"/>
      <c r="P205" s="78"/>
      <c r="Q205" s="44"/>
      <c r="R205" s="78"/>
      <c r="S205" s="47"/>
      <c r="T205" s="47"/>
      <c r="U205" s="111"/>
      <c r="V205" s="47"/>
      <c r="W205" s="47"/>
      <c r="X205" s="147"/>
      <c r="Y205" s="78"/>
      <c r="Z205" s="47"/>
      <c r="AA205" s="47"/>
      <c r="AB205" s="47"/>
      <c r="AC205" s="47"/>
      <c r="AD205" s="78"/>
      <c r="AE205" s="90" t="str">
        <f>IF(C205&lt;&gt;"",HYPERLINK(CONCATENATE(SheetName01,"\",Knives[[#This Row],[Manufacturer]],IF(Knives[[#This Row],[Model]]&lt;&gt;""," "&amp;Knives[[#This Row],[Model]],),".jpg"),CONCATENATE(Knives[[#This Row],[Manufacturer]],IF(Knives[[#This Row],[Model]]&lt;&gt;""," "&amp;Knives[[#This Row],[Model]],),".jpg")),"")</f>
        <v/>
      </c>
      <c r="AG205" s="5" t="str">
        <f t="shared" si="7"/>
        <v/>
      </c>
    </row>
    <row r="206" spans="2:33" x14ac:dyDescent="0.25">
      <c r="B206" s="80" t="str">
        <f t="shared" si="6"/>
        <v/>
      </c>
      <c r="C206" s="78"/>
      <c r="D206" s="78"/>
      <c r="E206" s="78"/>
      <c r="F206" s="47"/>
      <c r="G206" s="47"/>
      <c r="H206" s="47"/>
      <c r="I206" s="47"/>
      <c r="J206" s="47"/>
      <c r="K206" s="44"/>
      <c r="L206" s="47"/>
      <c r="M206" s="47"/>
      <c r="N206" s="47"/>
      <c r="O206" s="47"/>
      <c r="P206" s="78"/>
      <c r="Q206" s="44"/>
      <c r="R206" s="78"/>
      <c r="S206" s="47"/>
      <c r="T206" s="47"/>
      <c r="U206" s="111"/>
      <c r="V206" s="47"/>
      <c r="W206" s="47"/>
      <c r="X206" s="147"/>
      <c r="Y206" s="78"/>
      <c r="Z206" s="47"/>
      <c r="AA206" s="47"/>
      <c r="AB206" s="47"/>
      <c r="AC206" s="47"/>
      <c r="AD206" s="78"/>
      <c r="AE206" s="90" t="str">
        <f>IF(C206&lt;&gt;"",HYPERLINK(CONCATENATE(SheetName01,"\",Knives[[#This Row],[Manufacturer]],IF(Knives[[#This Row],[Model]]&lt;&gt;""," "&amp;Knives[[#This Row],[Model]],),".jpg"),CONCATENATE(Knives[[#This Row],[Manufacturer]],IF(Knives[[#This Row],[Model]]&lt;&gt;""," "&amp;Knives[[#This Row],[Model]],),".jpg")),"")</f>
        <v/>
      </c>
      <c r="AG206" s="5" t="str">
        <f t="shared" si="7"/>
        <v/>
      </c>
    </row>
    <row r="207" spans="2:33" x14ac:dyDescent="0.25">
      <c r="B207" s="80" t="str">
        <f t="shared" si="6"/>
        <v/>
      </c>
      <c r="C207" s="78"/>
      <c r="D207" s="78"/>
      <c r="E207" s="78"/>
      <c r="F207" s="47"/>
      <c r="G207" s="47"/>
      <c r="H207" s="47"/>
      <c r="I207" s="47"/>
      <c r="J207" s="47"/>
      <c r="K207" s="44"/>
      <c r="L207" s="47"/>
      <c r="M207" s="47"/>
      <c r="N207" s="47"/>
      <c r="O207" s="47"/>
      <c r="P207" s="78"/>
      <c r="Q207" s="44"/>
      <c r="R207" s="78"/>
      <c r="S207" s="47"/>
      <c r="T207" s="47"/>
      <c r="U207" s="111"/>
      <c r="V207" s="47"/>
      <c r="W207" s="47"/>
      <c r="X207" s="147"/>
      <c r="Y207" s="78"/>
      <c r="Z207" s="47"/>
      <c r="AA207" s="47"/>
      <c r="AB207" s="47"/>
      <c r="AC207" s="47"/>
      <c r="AD207" s="78"/>
      <c r="AE207" s="90" t="str">
        <f>IF(C207&lt;&gt;"",HYPERLINK(CONCATENATE(SheetName01,"\",Knives[[#This Row],[Manufacturer]],IF(Knives[[#This Row],[Model]]&lt;&gt;""," "&amp;Knives[[#This Row],[Model]],),".jpg"),CONCATENATE(Knives[[#This Row],[Manufacturer]],IF(Knives[[#This Row],[Model]]&lt;&gt;""," "&amp;Knives[[#This Row],[Model]],),".jpg")),"")</f>
        <v/>
      </c>
      <c r="AG207" s="5" t="str">
        <f t="shared" si="7"/>
        <v/>
      </c>
    </row>
    <row r="208" spans="2:33" x14ac:dyDescent="0.25">
      <c r="B208" s="80" t="str">
        <f t="shared" si="6"/>
        <v/>
      </c>
      <c r="C208" s="78"/>
      <c r="D208" s="78"/>
      <c r="E208" s="78"/>
      <c r="F208" s="47"/>
      <c r="G208" s="47"/>
      <c r="H208" s="47"/>
      <c r="I208" s="47"/>
      <c r="J208" s="47"/>
      <c r="K208" s="44"/>
      <c r="L208" s="47"/>
      <c r="M208" s="47"/>
      <c r="N208" s="47"/>
      <c r="O208" s="47"/>
      <c r="P208" s="78"/>
      <c r="Q208" s="44"/>
      <c r="R208" s="78"/>
      <c r="S208" s="47"/>
      <c r="T208" s="47"/>
      <c r="U208" s="111"/>
      <c r="V208" s="47"/>
      <c r="W208" s="47"/>
      <c r="X208" s="147"/>
      <c r="Y208" s="78"/>
      <c r="Z208" s="47"/>
      <c r="AA208" s="47"/>
      <c r="AB208" s="47"/>
      <c r="AC208" s="47"/>
      <c r="AD208" s="78"/>
      <c r="AE208" s="90" t="str">
        <f>IF(C208&lt;&gt;"",HYPERLINK(CONCATENATE(SheetName01,"\",Knives[[#This Row],[Manufacturer]],IF(Knives[[#This Row],[Model]]&lt;&gt;""," "&amp;Knives[[#This Row],[Model]],),".jpg"),CONCATENATE(Knives[[#This Row],[Manufacturer]],IF(Knives[[#This Row],[Model]]&lt;&gt;""," "&amp;Knives[[#This Row],[Model]],),".jpg")),"")</f>
        <v/>
      </c>
      <c r="AG208" s="5" t="str">
        <f t="shared" si="7"/>
        <v/>
      </c>
    </row>
    <row r="209" spans="2:33" x14ac:dyDescent="0.25">
      <c r="B209" s="80" t="str">
        <f t="shared" si="6"/>
        <v/>
      </c>
      <c r="C209" s="78"/>
      <c r="D209" s="78"/>
      <c r="E209" s="78"/>
      <c r="F209" s="47"/>
      <c r="G209" s="47"/>
      <c r="H209" s="47"/>
      <c r="I209" s="47"/>
      <c r="J209" s="47"/>
      <c r="K209" s="44"/>
      <c r="L209" s="47"/>
      <c r="M209" s="47"/>
      <c r="N209" s="47"/>
      <c r="O209" s="47"/>
      <c r="P209" s="78"/>
      <c r="Q209" s="44"/>
      <c r="R209" s="78"/>
      <c r="S209" s="47"/>
      <c r="T209" s="47"/>
      <c r="U209" s="111"/>
      <c r="V209" s="47"/>
      <c r="W209" s="47"/>
      <c r="X209" s="147"/>
      <c r="Y209" s="78"/>
      <c r="Z209" s="47"/>
      <c r="AA209" s="47"/>
      <c r="AB209" s="47"/>
      <c r="AC209" s="47"/>
      <c r="AD209" s="78"/>
      <c r="AE209" s="90" t="str">
        <f>IF(C209&lt;&gt;"",HYPERLINK(CONCATENATE(SheetName01,"\",Knives[[#This Row],[Manufacturer]],IF(Knives[[#This Row],[Model]]&lt;&gt;""," "&amp;Knives[[#This Row],[Model]],),".jpg"),CONCATENATE(Knives[[#This Row],[Manufacturer]],IF(Knives[[#This Row],[Model]]&lt;&gt;""," "&amp;Knives[[#This Row],[Model]],),".jpg")),"")</f>
        <v/>
      </c>
      <c r="AG209" s="5" t="str">
        <f t="shared" si="7"/>
        <v/>
      </c>
    </row>
    <row r="210" spans="2:33" x14ac:dyDescent="0.25">
      <c r="B210" s="80" t="str">
        <f t="shared" si="6"/>
        <v/>
      </c>
      <c r="C210" s="78"/>
      <c r="D210" s="78"/>
      <c r="E210" s="78"/>
      <c r="F210" s="47"/>
      <c r="G210" s="47"/>
      <c r="H210" s="47"/>
      <c r="I210" s="47"/>
      <c r="J210" s="47"/>
      <c r="K210" s="44"/>
      <c r="L210" s="47"/>
      <c r="M210" s="47"/>
      <c r="N210" s="47"/>
      <c r="O210" s="47"/>
      <c r="P210" s="78"/>
      <c r="Q210" s="44"/>
      <c r="R210" s="78"/>
      <c r="S210" s="47"/>
      <c r="T210" s="47"/>
      <c r="U210" s="111"/>
      <c r="V210" s="47"/>
      <c r="W210" s="47"/>
      <c r="X210" s="147"/>
      <c r="Y210" s="78"/>
      <c r="Z210" s="47"/>
      <c r="AA210" s="47"/>
      <c r="AB210" s="47"/>
      <c r="AC210" s="47"/>
      <c r="AD210" s="78"/>
      <c r="AE210" s="90" t="str">
        <f>IF(C210&lt;&gt;"",HYPERLINK(CONCATENATE(SheetName01,"\",Knives[[#This Row],[Manufacturer]],IF(Knives[[#This Row],[Model]]&lt;&gt;""," "&amp;Knives[[#This Row],[Model]],),".jpg"),CONCATENATE(Knives[[#This Row],[Manufacturer]],IF(Knives[[#This Row],[Model]]&lt;&gt;""," "&amp;Knives[[#This Row],[Model]],),".jpg")),"")</f>
        <v/>
      </c>
      <c r="AG210" s="5" t="str">
        <f t="shared" si="7"/>
        <v/>
      </c>
    </row>
    <row r="211" spans="2:33" x14ac:dyDescent="0.25">
      <c r="B211" s="80" t="str">
        <f t="shared" si="6"/>
        <v/>
      </c>
      <c r="C211" s="78"/>
      <c r="D211" s="78"/>
      <c r="E211" s="78"/>
      <c r="F211" s="47"/>
      <c r="G211" s="47"/>
      <c r="H211" s="47"/>
      <c r="I211" s="47"/>
      <c r="J211" s="47"/>
      <c r="K211" s="44"/>
      <c r="L211" s="47"/>
      <c r="M211" s="47"/>
      <c r="N211" s="47"/>
      <c r="O211" s="47"/>
      <c r="P211" s="78"/>
      <c r="Q211" s="44"/>
      <c r="R211" s="78"/>
      <c r="S211" s="47"/>
      <c r="T211" s="47"/>
      <c r="U211" s="111"/>
      <c r="V211" s="47"/>
      <c r="W211" s="47"/>
      <c r="X211" s="147"/>
      <c r="Y211" s="78"/>
      <c r="Z211" s="47"/>
      <c r="AA211" s="47"/>
      <c r="AB211" s="47"/>
      <c r="AC211" s="47"/>
      <c r="AD211" s="78"/>
      <c r="AE211" s="90" t="str">
        <f>IF(C211&lt;&gt;"",HYPERLINK(CONCATENATE(SheetName01,"\",Knives[[#This Row],[Manufacturer]],IF(Knives[[#This Row],[Model]]&lt;&gt;""," "&amp;Knives[[#This Row],[Model]],),".jpg"),CONCATENATE(Knives[[#This Row],[Manufacturer]],IF(Knives[[#This Row],[Model]]&lt;&gt;""," "&amp;Knives[[#This Row],[Model]],),".jpg")),"")</f>
        <v/>
      </c>
      <c r="AG211" s="5" t="str">
        <f t="shared" si="7"/>
        <v/>
      </c>
    </row>
    <row r="212" spans="2:33" x14ac:dyDescent="0.25">
      <c r="B212" s="80" t="str">
        <f t="shared" si="6"/>
        <v/>
      </c>
      <c r="C212" s="78"/>
      <c r="D212" s="78"/>
      <c r="E212" s="78"/>
      <c r="F212" s="47"/>
      <c r="G212" s="47"/>
      <c r="H212" s="47"/>
      <c r="I212" s="47"/>
      <c r="J212" s="47"/>
      <c r="K212" s="44"/>
      <c r="L212" s="47"/>
      <c r="M212" s="47"/>
      <c r="N212" s="47"/>
      <c r="O212" s="47"/>
      <c r="P212" s="78"/>
      <c r="Q212" s="44"/>
      <c r="R212" s="78"/>
      <c r="S212" s="47"/>
      <c r="T212" s="47"/>
      <c r="U212" s="111"/>
      <c r="V212" s="47"/>
      <c r="W212" s="47"/>
      <c r="X212" s="147"/>
      <c r="Y212" s="78"/>
      <c r="Z212" s="47"/>
      <c r="AA212" s="47"/>
      <c r="AB212" s="47"/>
      <c r="AC212" s="47"/>
      <c r="AD212" s="78"/>
      <c r="AE212" s="90" t="str">
        <f>IF(C212&lt;&gt;"",HYPERLINK(CONCATENATE(SheetName01,"\",Knives[[#This Row],[Manufacturer]],IF(Knives[[#This Row],[Model]]&lt;&gt;""," "&amp;Knives[[#This Row],[Model]],),".jpg"),CONCATENATE(Knives[[#This Row],[Manufacturer]],IF(Knives[[#This Row],[Model]]&lt;&gt;""," "&amp;Knives[[#This Row],[Model]],),".jpg")),"")</f>
        <v/>
      </c>
      <c r="AG212" s="5" t="str">
        <f t="shared" si="7"/>
        <v/>
      </c>
    </row>
    <row r="213" spans="2:33" x14ac:dyDescent="0.25">
      <c r="B213" s="80" t="str">
        <f t="shared" si="6"/>
        <v/>
      </c>
      <c r="C213" s="78"/>
      <c r="D213" s="78"/>
      <c r="E213" s="78"/>
      <c r="F213" s="47"/>
      <c r="G213" s="47"/>
      <c r="H213" s="47"/>
      <c r="I213" s="47"/>
      <c r="J213" s="47"/>
      <c r="K213" s="44"/>
      <c r="L213" s="47"/>
      <c r="M213" s="47"/>
      <c r="N213" s="47"/>
      <c r="O213" s="47"/>
      <c r="P213" s="78"/>
      <c r="Q213" s="44"/>
      <c r="R213" s="78"/>
      <c r="S213" s="47"/>
      <c r="T213" s="47"/>
      <c r="U213" s="111"/>
      <c r="V213" s="47"/>
      <c r="W213" s="47"/>
      <c r="X213" s="147"/>
      <c r="Y213" s="78"/>
      <c r="Z213" s="47"/>
      <c r="AA213" s="47"/>
      <c r="AB213" s="47"/>
      <c r="AC213" s="47"/>
      <c r="AD213" s="78"/>
      <c r="AE213" s="90" t="str">
        <f>IF(C213&lt;&gt;"",HYPERLINK(CONCATENATE(SheetName01,"\",Knives[[#This Row],[Manufacturer]],IF(Knives[[#This Row],[Model]]&lt;&gt;""," "&amp;Knives[[#This Row],[Model]],),".jpg"),CONCATENATE(Knives[[#This Row],[Manufacturer]],IF(Knives[[#This Row],[Model]]&lt;&gt;""," "&amp;Knives[[#This Row],[Model]],),".jpg")),"")</f>
        <v/>
      </c>
      <c r="AG213" s="5" t="str">
        <f t="shared" si="7"/>
        <v/>
      </c>
    </row>
    <row r="214" spans="2:33" x14ac:dyDescent="0.25">
      <c r="B214" s="80" t="str">
        <f t="shared" si="6"/>
        <v/>
      </c>
      <c r="C214" s="78"/>
      <c r="D214" s="78"/>
      <c r="E214" s="78"/>
      <c r="F214" s="47"/>
      <c r="G214" s="47"/>
      <c r="H214" s="47"/>
      <c r="I214" s="47"/>
      <c r="J214" s="47"/>
      <c r="K214" s="44"/>
      <c r="L214" s="47"/>
      <c r="M214" s="47"/>
      <c r="N214" s="47"/>
      <c r="O214" s="47"/>
      <c r="P214" s="78"/>
      <c r="Q214" s="44"/>
      <c r="R214" s="78"/>
      <c r="S214" s="47"/>
      <c r="T214" s="47"/>
      <c r="U214" s="111"/>
      <c r="V214" s="47"/>
      <c r="W214" s="47"/>
      <c r="X214" s="147"/>
      <c r="Y214" s="78"/>
      <c r="Z214" s="47"/>
      <c r="AA214" s="47"/>
      <c r="AB214" s="47"/>
      <c r="AC214" s="47"/>
      <c r="AD214" s="78"/>
      <c r="AE214" s="90" t="str">
        <f>IF(C214&lt;&gt;"",HYPERLINK(CONCATENATE(SheetName01,"\",Knives[[#This Row],[Manufacturer]],IF(Knives[[#This Row],[Model]]&lt;&gt;""," "&amp;Knives[[#This Row],[Model]],),".jpg"),CONCATENATE(Knives[[#This Row],[Manufacturer]],IF(Knives[[#This Row],[Model]]&lt;&gt;""," "&amp;Knives[[#This Row],[Model]],),".jpg")),"")</f>
        <v/>
      </c>
      <c r="AG214" s="5" t="str">
        <f t="shared" si="7"/>
        <v/>
      </c>
    </row>
    <row r="215" spans="2:33" x14ac:dyDescent="0.25">
      <c r="B215" s="80" t="str">
        <f t="shared" si="6"/>
        <v/>
      </c>
      <c r="C215" s="78"/>
      <c r="D215" s="78"/>
      <c r="E215" s="78"/>
      <c r="F215" s="47"/>
      <c r="G215" s="47"/>
      <c r="H215" s="47"/>
      <c r="I215" s="47"/>
      <c r="J215" s="47"/>
      <c r="K215" s="44"/>
      <c r="L215" s="47"/>
      <c r="M215" s="47"/>
      <c r="N215" s="47"/>
      <c r="O215" s="47"/>
      <c r="P215" s="78"/>
      <c r="Q215" s="44"/>
      <c r="R215" s="78"/>
      <c r="S215" s="47"/>
      <c r="T215" s="47"/>
      <c r="U215" s="111"/>
      <c r="V215" s="47"/>
      <c r="W215" s="47"/>
      <c r="X215" s="147"/>
      <c r="Y215" s="78"/>
      <c r="Z215" s="47"/>
      <c r="AA215" s="47"/>
      <c r="AB215" s="47"/>
      <c r="AC215" s="47"/>
      <c r="AD215" s="78"/>
      <c r="AE215" s="90" t="str">
        <f>IF(C215&lt;&gt;"",HYPERLINK(CONCATENATE(SheetName01,"\",Knives[[#This Row],[Manufacturer]],IF(Knives[[#This Row],[Model]]&lt;&gt;""," "&amp;Knives[[#This Row],[Model]],),".jpg"),CONCATENATE(Knives[[#This Row],[Manufacturer]],IF(Knives[[#This Row],[Model]]&lt;&gt;""," "&amp;Knives[[#This Row],[Model]],),".jpg")),"")</f>
        <v/>
      </c>
      <c r="AG215" s="5" t="str">
        <f t="shared" si="7"/>
        <v/>
      </c>
    </row>
    <row r="216" spans="2:33" x14ac:dyDescent="0.25">
      <c r="B216" s="80" t="str">
        <f t="shared" si="6"/>
        <v/>
      </c>
      <c r="C216" s="78"/>
      <c r="D216" s="78"/>
      <c r="E216" s="78"/>
      <c r="F216" s="47"/>
      <c r="G216" s="47"/>
      <c r="H216" s="47"/>
      <c r="I216" s="47"/>
      <c r="J216" s="47"/>
      <c r="K216" s="44"/>
      <c r="L216" s="47"/>
      <c r="M216" s="47"/>
      <c r="N216" s="47"/>
      <c r="O216" s="47"/>
      <c r="P216" s="78"/>
      <c r="Q216" s="44"/>
      <c r="R216" s="78"/>
      <c r="S216" s="47"/>
      <c r="T216" s="47"/>
      <c r="U216" s="111"/>
      <c r="V216" s="47"/>
      <c r="W216" s="47"/>
      <c r="X216" s="147"/>
      <c r="Y216" s="78"/>
      <c r="Z216" s="47"/>
      <c r="AA216" s="47"/>
      <c r="AB216" s="47"/>
      <c r="AC216" s="47"/>
      <c r="AD216" s="78"/>
      <c r="AE216" s="90" t="str">
        <f>IF(C216&lt;&gt;"",HYPERLINK(CONCATENATE(SheetName01,"\",Knives[[#This Row],[Manufacturer]],IF(Knives[[#This Row],[Model]]&lt;&gt;""," "&amp;Knives[[#This Row],[Model]],),".jpg"),CONCATENATE(Knives[[#This Row],[Manufacturer]],IF(Knives[[#This Row],[Model]]&lt;&gt;""," "&amp;Knives[[#This Row],[Model]],),".jpg")),"")</f>
        <v/>
      </c>
      <c r="AG216" s="5" t="str">
        <f t="shared" si="7"/>
        <v/>
      </c>
    </row>
    <row r="217" spans="2:33" x14ac:dyDescent="0.25">
      <c r="B217" s="80" t="str">
        <f t="shared" si="6"/>
        <v/>
      </c>
      <c r="C217" s="78"/>
      <c r="D217" s="78"/>
      <c r="E217" s="78"/>
      <c r="F217" s="47"/>
      <c r="G217" s="47"/>
      <c r="H217" s="47"/>
      <c r="I217" s="47"/>
      <c r="J217" s="47"/>
      <c r="K217" s="44"/>
      <c r="L217" s="47"/>
      <c r="M217" s="47"/>
      <c r="N217" s="47"/>
      <c r="O217" s="47"/>
      <c r="P217" s="78"/>
      <c r="Q217" s="44"/>
      <c r="R217" s="78"/>
      <c r="S217" s="47"/>
      <c r="T217" s="47"/>
      <c r="U217" s="111"/>
      <c r="V217" s="47"/>
      <c r="W217" s="47"/>
      <c r="X217" s="147"/>
      <c r="Y217" s="78"/>
      <c r="Z217" s="47"/>
      <c r="AA217" s="47"/>
      <c r="AB217" s="47"/>
      <c r="AC217" s="47"/>
      <c r="AD217" s="78"/>
      <c r="AE217" s="90" t="str">
        <f>IF(C217&lt;&gt;"",HYPERLINK(CONCATENATE(SheetName01,"\",Knives[[#This Row],[Manufacturer]],IF(Knives[[#This Row],[Model]]&lt;&gt;""," "&amp;Knives[[#This Row],[Model]],),".jpg"),CONCATENATE(Knives[[#This Row],[Manufacturer]],IF(Knives[[#This Row],[Model]]&lt;&gt;""," "&amp;Knives[[#This Row],[Model]],),".jpg")),"")</f>
        <v/>
      </c>
      <c r="AG217" s="5" t="str">
        <f t="shared" si="7"/>
        <v/>
      </c>
    </row>
    <row r="218" spans="2:33" x14ac:dyDescent="0.25">
      <c r="B218" s="80" t="str">
        <f t="shared" si="6"/>
        <v/>
      </c>
      <c r="C218" s="78"/>
      <c r="D218" s="78"/>
      <c r="E218" s="78"/>
      <c r="F218" s="47"/>
      <c r="G218" s="47"/>
      <c r="H218" s="47"/>
      <c r="I218" s="47"/>
      <c r="J218" s="47"/>
      <c r="K218" s="44"/>
      <c r="L218" s="47"/>
      <c r="M218" s="47"/>
      <c r="N218" s="47"/>
      <c r="O218" s="47"/>
      <c r="P218" s="78"/>
      <c r="Q218" s="44"/>
      <c r="R218" s="78"/>
      <c r="S218" s="47"/>
      <c r="T218" s="47"/>
      <c r="U218" s="111"/>
      <c r="V218" s="47"/>
      <c r="W218" s="47"/>
      <c r="X218" s="147"/>
      <c r="Y218" s="78"/>
      <c r="Z218" s="47"/>
      <c r="AA218" s="47"/>
      <c r="AB218" s="47"/>
      <c r="AC218" s="47"/>
      <c r="AD218" s="78"/>
      <c r="AE218" s="90" t="str">
        <f>IF(C218&lt;&gt;"",HYPERLINK(CONCATENATE(SheetName01,"\",Knives[[#This Row],[Manufacturer]],IF(Knives[[#This Row],[Model]]&lt;&gt;""," "&amp;Knives[[#This Row],[Model]],),".jpg"),CONCATENATE(Knives[[#This Row],[Manufacturer]],IF(Knives[[#This Row],[Model]]&lt;&gt;""," "&amp;Knives[[#This Row],[Model]],),".jpg")),"")</f>
        <v/>
      </c>
      <c r="AG218" s="5" t="str">
        <f t="shared" si="7"/>
        <v/>
      </c>
    </row>
    <row r="219" spans="2:33" x14ac:dyDescent="0.25">
      <c r="B219" s="80" t="str">
        <f t="shared" si="6"/>
        <v/>
      </c>
      <c r="C219" s="78"/>
      <c r="D219" s="78"/>
      <c r="E219" s="78"/>
      <c r="F219" s="47"/>
      <c r="G219" s="47"/>
      <c r="H219" s="47"/>
      <c r="I219" s="47"/>
      <c r="J219" s="47"/>
      <c r="K219" s="44"/>
      <c r="L219" s="47"/>
      <c r="M219" s="47"/>
      <c r="N219" s="47"/>
      <c r="O219" s="47"/>
      <c r="P219" s="78"/>
      <c r="Q219" s="44"/>
      <c r="R219" s="78"/>
      <c r="S219" s="47"/>
      <c r="T219" s="47"/>
      <c r="U219" s="111"/>
      <c r="V219" s="47"/>
      <c r="W219" s="47"/>
      <c r="X219" s="147"/>
      <c r="Y219" s="78"/>
      <c r="Z219" s="47"/>
      <c r="AA219" s="47"/>
      <c r="AB219" s="47"/>
      <c r="AC219" s="47"/>
      <c r="AD219" s="78"/>
      <c r="AE219" s="90" t="str">
        <f>IF(C219&lt;&gt;"",HYPERLINK(CONCATENATE(SheetName01,"\",Knives[[#This Row],[Manufacturer]],IF(Knives[[#This Row],[Model]]&lt;&gt;""," "&amp;Knives[[#This Row],[Model]],),".jpg"),CONCATENATE(Knives[[#This Row],[Manufacturer]],IF(Knives[[#This Row],[Model]]&lt;&gt;""," "&amp;Knives[[#This Row],[Model]],),".jpg")),"")</f>
        <v/>
      </c>
      <c r="AG219" s="5" t="str">
        <f t="shared" si="7"/>
        <v/>
      </c>
    </row>
    <row r="220" spans="2:33" x14ac:dyDescent="0.25">
      <c r="B220" s="80" t="str">
        <f t="shared" si="6"/>
        <v/>
      </c>
      <c r="C220" s="78"/>
      <c r="D220" s="78"/>
      <c r="E220" s="78"/>
      <c r="F220" s="47"/>
      <c r="G220" s="47"/>
      <c r="H220" s="47"/>
      <c r="I220" s="47"/>
      <c r="J220" s="47"/>
      <c r="K220" s="44"/>
      <c r="L220" s="47"/>
      <c r="M220" s="47"/>
      <c r="N220" s="47"/>
      <c r="O220" s="47"/>
      <c r="P220" s="78"/>
      <c r="Q220" s="44"/>
      <c r="R220" s="78"/>
      <c r="S220" s="47"/>
      <c r="T220" s="47"/>
      <c r="U220" s="111"/>
      <c r="V220" s="47"/>
      <c r="W220" s="47"/>
      <c r="X220" s="147"/>
      <c r="Y220" s="78"/>
      <c r="Z220" s="47"/>
      <c r="AA220" s="47"/>
      <c r="AB220" s="47"/>
      <c r="AC220" s="47"/>
      <c r="AD220" s="78"/>
      <c r="AE220" s="90" t="str">
        <f>IF(C220&lt;&gt;"",HYPERLINK(CONCATENATE(SheetName01,"\",Knives[[#This Row],[Manufacturer]],IF(Knives[[#This Row],[Model]]&lt;&gt;""," "&amp;Knives[[#This Row],[Model]],),".jpg"),CONCATENATE(Knives[[#This Row],[Manufacturer]],IF(Knives[[#This Row],[Model]]&lt;&gt;""," "&amp;Knives[[#This Row],[Model]],),".jpg")),"")</f>
        <v/>
      </c>
      <c r="AG220" s="5" t="str">
        <f t="shared" si="7"/>
        <v/>
      </c>
    </row>
    <row r="221" spans="2:33" x14ac:dyDescent="0.25">
      <c r="B221" s="80" t="str">
        <f t="shared" si="6"/>
        <v/>
      </c>
      <c r="C221" s="78"/>
      <c r="D221" s="78"/>
      <c r="E221" s="78"/>
      <c r="F221" s="47"/>
      <c r="G221" s="47"/>
      <c r="H221" s="47"/>
      <c r="I221" s="47"/>
      <c r="J221" s="47"/>
      <c r="K221" s="44"/>
      <c r="L221" s="47"/>
      <c r="M221" s="47"/>
      <c r="N221" s="47"/>
      <c r="O221" s="47"/>
      <c r="P221" s="78"/>
      <c r="Q221" s="44"/>
      <c r="R221" s="78"/>
      <c r="S221" s="47"/>
      <c r="T221" s="47"/>
      <c r="U221" s="111"/>
      <c r="V221" s="47"/>
      <c r="W221" s="47"/>
      <c r="X221" s="147"/>
      <c r="Y221" s="78"/>
      <c r="Z221" s="47"/>
      <c r="AA221" s="47"/>
      <c r="AB221" s="47"/>
      <c r="AC221" s="47"/>
      <c r="AD221" s="78"/>
      <c r="AE221" s="90" t="str">
        <f>IF(C221&lt;&gt;"",HYPERLINK(CONCATENATE(SheetName01,"\",Knives[[#This Row],[Manufacturer]],IF(Knives[[#This Row],[Model]]&lt;&gt;""," "&amp;Knives[[#This Row],[Model]],),".jpg"),CONCATENATE(Knives[[#This Row],[Manufacturer]],IF(Knives[[#This Row],[Model]]&lt;&gt;""," "&amp;Knives[[#This Row],[Model]],),".jpg")),"")</f>
        <v/>
      </c>
      <c r="AG221" s="5" t="str">
        <f t="shared" si="7"/>
        <v/>
      </c>
    </row>
    <row r="222" spans="2:33" x14ac:dyDescent="0.25">
      <c r="B222" s="80" t="str">
        <f t="shared" si="6"/>
        <v/>
      </c>
      <c r="C222" s="78"/>
      <c r="D222" s="78"/>
      <c r="E222" s="78"/>
      <c r="F222" s="47"/>
      <c r="G222" s="47"/>
      <c r="H222" s="47"/>
      <c r="I222" s="47"/>
      <c r="J222" s="47"/>
      <c r="K222" s="44"/>
      <c r="L222" s="47"/>
      <c r="M222" s="47"/>
      <c r="N222" s="47"/>
      <c r="O222" s="47"/>
      <c r="P222" s="78"/>
      <c r="Q222" s="44"/>
      <c r="R222" s="78"/>
      <c r="S222" s="47"/>
      <c r="T222" s="47"/>
      <c r="U222" s="111"/>
      <c r="V222" s="47"/>
      <c r="W222" s="47"/>
      <c r="X222" s="147"/>
      <c r="Y222" s="78"/>
      <c r="Z222" s="47"/>
      <c r="AA222" s="47"/>
      <c r="AB222" s="47"/>
      <c r="AC222" s="47"/>
      <c r="AD222" s="78"/>
      <c r="AE222" s="90" t="str">
        <f>IF(C222&lt;&gt;"",HYPERLINK(CONCATENATE(SheetName01,"\",Knives[[#This Row],[Manufacturer]],IF(Knives[[#This Row],[Model]]&lt;&gt;""," "&amp;Knives[[#This Row],[Model]],),".jpg"),CONCATENATE(Knives[[#This Row],[Manufacturer]],IF(Knives[[#This Row],[Model]]&lt;&gt;""," "&amp;Knives[[#This Row],[Model]],),".jpg")),"")</f>
        <v/>
      </c>
      <c r="AG222" s="5" t="str">
        <f t="shared" si="7"/>
        <v/>
      </c>
    </row>
    <row r="223" spans="2:33" x14ac:dyDescent="0.25">
      <c r="B223" s="80" t="str">
        <f t="shared" si="6"/>
        <v/>
      </c>
      <c r="C223" s="78"/>
      <c r="D223" s="78"/>
      <c r="E223" s="78"/>
      <c r="F223" s="47"/>
      <c r="G223" s="47"/>
      <c r="H223" s="47"/>
      <c r="I223" s="47"/>
      <c r="J223" s="47"/>
      <c r="K223" s="44"/>
      <c r="L223" s="47"/>
      <c r="M223" s="47"/>
      <c r="N223" s="47"/>
      <c r="O223" s="47"/>
      <c r="P223" s="78"/>
      <c r="Q223" s="44"/>
      <c r="R223" s="78"/>
      <c r="S223" s="47"/>
      <c r="T223" s="47"/>
      <c r="U223" s="111"/>
      <c r="V223" s="47"/>
      <c r="W223" s="47"/>
      <c r="X223" s="147"/>
      <c r="Y223" s="78"/>
      <c r="Z223" s="47"/>
      <c r="AA223" s="47"/>
      <c r="AB223" s="47"/>
      <c r="AC223" s="47"/>
      <c r="AD223" s="78"/>
      <c r="AE223" s="90" t="str">
        <f>IF(C223&lt;&gt;"",HYPERLINK(CONCATENATE(SheetName01,"\",Knives[[#This Row],[Manufacturer]],IF(Knives[[#This Row],[Model]]&lt;&gt;""," "&amp;Knives[[#This Row],[Model]],),".jpg"),CONCATENATE(Knives[[#This Row],[Manufacturer]],IF(Knives[[#This Row],[Model]]&lt;&gt;""," "&amp;Knives[[#This Row],[Model]],),".jpg")),"")</f>
        <v/>
      </c>
      <c r="AG223" s="5" t="str">
        <f t="shared" si="7"/>
        <v/>
      </c>
    </row>
    <row r="224" spans="2:33" x14ac:dyDescent="0.25">
      <c r="B224" s="80" t="str">
        <f t="shared" si="6"/>
        <v/>
      </c>
      <c r="C224" s="78"/>
      <c r="D224" s="78"/>
      <c r="E224" s="78"/>
      <c r="F224" s="47"/>
      <c r="G224" s="47"/>
      <c r="H224" s="47"/>
      <c r="I224" s="47"/>
      <c r="J224" s="47"/>
      <c r="K224" s="44"/>
      <c r="L224" s="47"/>
      <c r="M224" s="47"/>
      <c r="N224" s="47"/>
      <c r="O224" s="47"/>
      <c r="P224" s="78"/>
      <c r="Q224" s="44"/>
      <c r="R224" s="78"/>
      <c r="S224" s="47"/>
      <c r="T224" s="47"/>
      <c r="U224" s="111"/>
      <c r="V224" s="47"/>
      <c r="W224" s="47"/>
      <c r="X224" s="147"/>
      <c r="Y224" s="78"/>
      <c r="Z224" s="47"/>
      <c r="AA224" s="47"/>
      <c r="AB224" s="47"/>
      <c r="AC224" s="47"/>
      <c r="AD224" s="78"/>
      <c r="AE224" s="90" t="str">
        <f>IF(C224&lt;&gt;"",HYPERLINK(CONCATENATE(SheetName01,"\",Knives[[#This Row],[Manufacturer]],IF(Knives[[#This Row],[Model]]&lt;&gt;""," "&amp;Knives[[#This Row],[Model]],),".jpg"),CONCATENATE(Knives[[#This Row],[Manufacturer]],IF(Knives[[#This Row],[Model]]&lt;&gt;""," "&amp;Knives[[#This Row],[Model]],),".jpg")),"")</f>
        <v/>
      </c>
      <c r="AG224" s="5" t="str">
        <f t="shared" si="7"/>
        <v/>
      </c>
    </row>
    <row r="225" spans="2:33" x14ac:dyDescent="0.25">
      <c r="B225" s="80" t="str">
        <f t="shared" si="6"/>
        <v/>
      </c>
      <c r="C225" s="78"/>
      <c r="D225" s="78"/>
      <c r="E225" s="78"/>
      <c r="F225" s="47"/>
      <c r="G225" s="47"/>
      <c r="H225" s="47"/>
      <c r="I225" s="47"/>
      <c r="J225" s="47"/>
      <c r="K225" s="44"/>
      <c r="L225" s="47"/>
      <c r="M225" s="47"/>
      <c r="N225" s="47"/>
      <c r="O225" s="47"/>
      <c r="P225" s="78"/>
      <c r="Q225" s="44"/>
      <c r="R225" s="78"/>
      <c r="S225" s="47"/>
      <c r="T225" s="47"/>
      <c r="U225" s="111"/>
      <c r="V225" s="47"/>
      <c r="W225" s="47"/>
      <c r="X225" s="147"/>
      <c r="Y225" s="78"/>
      <c r="Z225" s="47"/>
      <c r="AA225" s="47"/>
      <c r="AB225" s="47"/>
      <c r="AC225" s="47"/>
      <c r="AD225" s="78"/>
      <c r="AE225" s="90" t="str">
        <f>IF(C225&lt;&gt;"",HYPERLINK(CONCATENATE(SheetName01,"\",Knives[[#This Row],[Manufacturer]],IF(Knives[[#This Row],[Model]]&lt;&gt;""," "&amp;Knives[[#This Row],[Model]],),".jpg"),CONCATENATE(Knives[[#This Row],[Manufacturer]],IF(Knives[[#This Row],[Model]]&lt;&gt;""," "&amp;Knives[[#This Row],[Model]],),".jpg")),"")</f>
        <v/>
      </c>
      <c r="AG225" s="5" t="str">
        <f t="shared" si="7"/>
        <v/>
      </c>
    </row>
    <row r="226" spans="2:33" x14ac:dyDescent="0.25">
      <c r="B226" s="80" t="str">
        <f t="shared" si="6"/>
        <v/>
      </c>
      <c r="C226" s="78"/>
      <c r="D226" s="78"/>
      <c r="E226" s="78"/>
      <c r="F226" s="47"/>
      <c r="G226" s="47"/>
      <c r="H226" s="47"/>
      <c r="I226" s="47"/>
      <c r="J226" s="47"/>
      <c r="K226" s="44"/>
      <c r="L226" s="47"/>
      <c r="M226" s="47"/>
      <c r="N226" s="47"/>
      <c r="O226" s="47"/>
      <c r="P226" s="78"/>
      <c r="Q226" s="44"/>
      <c r="R226" s="78"/>
      <c r="S226" s="47"/>
      <c r="T226" s="47"/>
      <c r="U226" s="111"/>
      <c r="V226" s="47"/>
      <c r="W226" s="47"/>
      <c r="X226" s="147"/>
      <c r="Y226" s="78"/>
      <c r="Z226" s="47"/>
      <c r="AA226" s="47"/>
      <c r="AB226" s="47"/>
      <c r="AC226" s="47"/>
      <c r="AD226" s="78"/>
      <c r="AE226" s="90" t="str">
        <f>IF(C226&lt;&gt;"",HYPERLINK(CONCATENATE(SheetName01,"\",Knives[[#This Row],[Manufacturer]],IF(Knives[[#This Row],[Model]]&lt;&gt;""," "&amp;Knives[[#This Row],[Model]],),".jpg"),CONCATENATE(Knives[[#This Row],[Manufacturer]],IF(Knives[[#This Row],[Model]]&lt;&gt;""," "&amp;Knives[[#This Row],[Model]],),".jpg")),"")</f>
        <v/>
      </c>
      <c r="AG226" s="5" t="str">
        <f t="shared" si="7"/>
        <v/>
      </c>
    </row>
    <row r="227" spans="2:33" x14ac:dyDescent="0.25">
      <c r="B227" s="80" t="str">
        <f t="shared" si="6"/>
        <v/>
      </c>
      <c r="C227" s="78"/>
      <c r="D227" s="78"/>
      <c r="E227" s="78"/>
      <c r="F227" s="47"/>
      <c r="G227" s="47"/>
      <c r="H227" s="47"/>
      <c r="I227" s="47"/>
      <c r="J227" s="47"/>
      <c r="K227" s="44"/>
      <c r="L227" s="47"/>
      <c r="M227" s="47"/>
      <c r="N227" s="47"/>
      <c r="O227" s="47"/>
      <c r="P227" s="78"/>
      <c r="Q227" s="44"/>
      <c r="R227" s="78"/>
      <c r="S227" s="47"/>
      <c r="T227" s="47"/>
      <c r="U227" s="111"/>
      <c r="V227" s="47"/>
      <c r="W227" s="47"/>
      <c r="X227" s="147"/>
      <c r="Y227" s="78"/>
      <c r="Z227" s="47"/>
      <c r="AA227" s="47"/>
      <c r="AB227" s="47"/>
      <c r="AC227" s="47"/>
      <c r="AD227" s="78"/>
      <c r="AE227" s="90" t="str">
        <f>IF(C227&lt;&gt;"",HYPERLINK(CONCATENATE(SheetName01,"\",Knives[[#This Row],[Manufacturer]],IF(Knives[[#This Row],[Model]]&lt;&gt;""," "&amp;Knives[[#This Row],[Model]],),".jpg"),CONCATENATE(Knives[[#This Row],[Manufacturer]],IF(Knives[[#This Row],[Model]]&lt;&gt;""," "&amp;Knives[[#This Row],[Model]],),".jpg")),"")</f>
        <v/>
      </c>
      <c r="AG227" s="5" t="str">
        <f t="shared" si="7"/>
        <v/>
      </c>
    </row>
    <row r="228" spans="2:33" x14ac:dyDescent="0.25">
      <c r="B228" s="80" t="str">
        <f t="shared" si="6"/>
        <v/>
      </c>
      <c r="C228" s="78"/>
      <c r="D228" s="78"/>
      <c r="E228" s="78"/>
      <c r="F228" s="47"/>
      <c r="G228" s="47"/>
      <c r="H228" s="47"/>
      <c r="I228" s="47"/>
      <c r="J228" s="47"/>
      <c r="K228" s="44"/>
      <c r="L228" s="47"/>
      <c r="M228" s="47"/>
      <c r="N228" s="47"/>
      <c r="O228" s="47"/>
      <c r="P228" s="78"/>
      <c r="Q228" s="44"/>
      <c r="R228" s="78"/>
      <c r="S228" s="47"/>
      <c r="T228" s="47"/>
      <c r="U228" s="111"/>
      <c r="V228" s="47"/>
      <c r="W228" s="47"/>
      <c r="X228" s="147"/>
      <c r="Y228" s="78"/>
      <c r="Z228" s="47"/>
      <c r="AA228" s="47"/>
      <c r="AB228" s="47"/>
      <c r="AC228" s="47"/>
      <c r="AD228" s="78"/>
      <c r="AE228" s="90" t="str">
        <f>IF(C228&lt;&gt;"",HYPERLINK(CONCATENATE(SheetName01,"\",Knives[[#This Row],[Manufacturer]],IF(Knives[[#This Row],[Model]]&lt;&gt;""," "&amp;Knives[[#This Row],[Model]],),".jpg"),CONCATENATE(Knives[[#This Row],[Manufacturer]],IF(Knives[[#This Row],[Model]]&lt;&gt;""," "&amp;Knives[[#This Row],[Model]],),".jpg")),"")</f>
        <v/>
      </c>
      <c r="AG228" s="5" t="str">
        <f t="shared" si="7"/>
        <v/>
      </c>
    </row>
    <row r="229" spans="2:33" x14ac:dyDescent="0.25">
      <c r="B229" s="80" t="str">
        <f t="shared" si="6"/>
        <v/>
      </c>
      <c r="C229" s="78"/>
      <c r="D229" s="78"/>
      <c r="E229" s="78"/>
      <c r="F229" s="47"/>
      <c r="G229" s="47"/>
      <c r="H229" s="47"/>
      <c r="I229" s="47"/>
      <c r="J229" s="47"/>
      <c r="K229" s="44"/>
      <c r="L229" s="47"/>
      <c r="M229" s="47"/>
      <c r="N229" s="47"/>
      <c r="O229" s="47"/>
      <c r="P229" s="78"/>
      <c r="Q229" s="44"/>
      <c r="R229" s="78"/>
      <c r="S229" s="47"/>
      <c r="T229" s="47"/>
      <c r="U229" s="111"/>
      <c r="V229" s="47"/>
      <c r="W229" s="47"/>
      <c r="X229" s="147"/>
      <c r="Y229" s="78"/>
      <c r="Z229" s="47"/>
      <c r="AA229" s="47"/>
      <c r="AB229" s="47"/>
      <c r="AC229" s="47"/>
      <c r="AD229" s="78"/>
      <c r="AE229" s="90" t="str">
        <f>IF(C229&lt;&gt;"",HYPERLINK(CONCATENATE(SheetName01,"\",Knives[[#This Row],[Manufacturer]],IF(Knives[[#This Row],[Model]]&lt;&gt;""," "&amp;Knives[[#This Row],[Model]],),".jpg"),CONCATENATE(Knives[[#This Row],[Manufacturer]],IF(Knives[[#This Row],[Model]]&lt;&gt;""," "&amp;Knives[[#This Row],[Model]],),".jpg")),"")</f>
        <v/>
      </c>
      <c r="AG229" s="5" t="str">
        <f t="shared" si="7"/>
        <v/>
      </c>
    </row>
    <row r="230" spans="2:33" x14ac:dyDescent="0.25">
      <c r="B230" s="80" t="str">
        <f t="shared" si="6"/>
        <v/>
      </c>
      <c r="C230" s="78"/>
      <c r="D230" s="78"/>
      <c r="E230" s="78"/>
      <c r="F230" s="47"/>
      <c r="G230" s="47"/>
      <c r="H230" s="47"/>
      <c r="I230" s="47"/>
      <c r="J230" s="47"/>
      <c r="K230" s="44"/>
      <c r="L230" s="47"/>
      <c r="M230" s="47"/>
      <c r="N230" s="47"/>
      <c r="O230" s="47"/>
      <c r="P230" s="78"/>
      <c r="Q230" s="44"/>
      <c r="R230" s="78"/>
      <c r="S230" s="47"/>
      <c r="T230" s="47"/>
      <c r="U230" s="111"/>
      <c r="V230" s="47"/>
      <c r="W230" s="47"/>
      <c r="X230" s="147"/>
      <c r="Y230" s="78"/>
      <c r="Z230" s="47"/>
      <c r="AA230" s="47"/>
      <c r="AB230" s="47"/>
      <c r="AC230" s="47"/>
      <c r="AD230" s="78"/>
      <c r="AE230" s="90" t="str">
        <f>IF(C230&lt;&gt;"",HYPERLINK(CONCATENATE(SheetName01,"\",Knives[[#This Row],[Manufacturer]],IF(Knives[[#This Row],[Model]]&lt;&gt;""," "&amp;Knives[[#This Row],[Model]],),".jpg"),CONCATENATE(Knives[[#This Row],[Manufacturer]],IF(Knives[[#This Row],[Model]]&lt;&gt;""," "&amp;Knives[[#This Row],[Model]],),".jpg")),"")</f>
        <v/>
      </c>
      <c r="AG230" s="5" t="str">
        <f t="shared" si="7"/>
        <v/>
      </c>
    </row>
    <row r="231" spans="2:33" x14ac:dyDescent="0.25">
      <c r="B231" s="80" t="str">
        <f t="shared" si="6"/>
        <v/>
      </c>
      <c r="C231" s="78"/>
      <c r="D231" s="78"/>
      <c r="E231" s="78"/>
      <c r="F231" s="47"/>
      <c r="G231" s="47"/>
      <c r="H231" s="47"/>
      <c r="I231" s="47"/>
      <c r="J231" s="47"/>
      <c r="K231" s="44"/>
      <c r="L231" s="47"/>
      <c r="M231" s="47"/>
      <c r="N231" s="47"/>
      <c r="O231" s="47"/>
      <c r="P231" s="78"/>
      <c r="Q231" s="44"/>
      <c r="R231" s="78"/>
      <c r="S231" s="47"/>
      <c r="T231" s="47"/>
      <c r="U231" s="111"/>
      <c r="V231" s="47"/>
      <c r="W231" s="47"/>
      <c r="X231" s="147"/>
      <c r="Y231" s="78"/>
      <c r="Z231" s="47"/>
      <c r="AA231" s="47"/>
      <c r="AB231" s="47"/>
      <c r="AC231" s="47"/>
      <c r="AD231" s="78"/>
      <c r="AE231" s="90" t="str">
        <f>IF(C231&lt;&gt;"",HYPERLINK(CONCATENATE(SheetName01,"\",Knives[[#This Row],[Manufacturer]],IF(Knives[[#This Row],[Model]]&lt;&gt;""," "&amp;Knives[[#This Row],[Model]],),".jpg"),CONCATENATE(Knives[[#This Row],[Manufacturer]],IF(Knives[[#This Row],[Model]]&lt;&gt;""," "&amp;Knives[[#This Row],[Model]],),".jpg")),"")</f>
        <v/>
      </c>
      <c r="AG231" s="5" t="str">
        <f t="shared" si="7"/>
        <v/>
      </c>
    </row>
    <row r="232" spans="2:33" x14ac:dyDescent="0.25">
      <c r="B232" s="80" t="str">
        <f t="shared" si="6"/>
        <v/>
      </c>
      <c r="C232" s="78"/>
      <c r="D232" s="78"/>
      <c r="E232" s="78"/>
      <c r="F232" s="47"/>
      <c r="G232" s="47"/>
      <c r="H232" s="47"/>
      <c r="I232" s="47"/>
      <c r="J232" s="47"/>
      <c r="K232" s="44"/>
      <c r="L232" s="47"/>
      <c r="M232" s="47"/>
      <c r="N232" s="47"/>
      <c r="O232" s="47"/>
      <c r="P232" s="78"/>
      <c r="Q232" s="44"/>
      <c r="R232" s="78"/>
      <c r="S232" s="47"/>
      <c r="T232" s="47"/>
      <c r="U232" s="111"/>
      <c r="V232" s="47"/>
      <c r="W232" s="47"/>
      <c r="X232" s="147"/>
      <c r="Y232" s="78"/>
      <c r="Z232" s="47"/>
      <c r="AA232" s="47"/>
      <c r="AB232" s="47"/>
      <c r="AC232" s="47"/>
      <c r="AD232" s="78"/>
      <c r="AE232" s="90" t="str">
        <f>IF(C232&lt;&gt;"",HYPERLINK(CONCATENATE(SheetName01,"\",Knives[[#This Row],[Manufacturer]],IF(Knives[[#This Row],[Model]]&lt;&gt;""," "&amp;Knives[[#This Row],[Model]],),".jpg"),CONCATENATE(Knives[[#This Row],[Manufacturer]],IF(Knives[[#This Row],[Model]]&lt;&gt;""," "&amp;Knives[[#This Row],[Model]],),".jpg")),"")</f>
        <v/>
      </c>
      <c r="AG232" s="5" t="str">
        <f t="shared" si="7"/>
        <v/>
      </c>
    </row>
    <row r="233" spans="2:33" x14ac:dyDescent="0.25">
      <c r="B233" s="80" t="str">
        <f t="shared" si="6"/>
        <v/>
      </c>
      <c r="C233" s="78"/>
      <c r="D233" s="78"/>
      <c r="E233" s="78"/>
      <c r="F233" s="47"/>
      <c r="G233" s="47"/>
      <c r="H233" s="47"/>
      <c r="I233" s="47"/>
      <c r="J233" s="47"/>
      <c r="K233" s="44"/>
      <c r="L233" s="47"/>
      <c r="M233" s="47"/>
      <c r="N233" s="47"/>
      <c r="O233" s="47"/>
      <c r="P233" s="78"/>
      <c r="Q233" s="44"/>
      <c r="R233" s="78"/>
      <c r="S233" s="47"/>
      <c r="T233" s="47"/>
      <c r="U233" s="111"/>
      <c r="V233" s="47"/>
      <c r="W233" s="47"/>
      <c r="X233" s="147"/>
      <c r="Y233" s="78"/>
      <c r="Z233" s="47"/>
      <c r="AA233" s="47"/>
      <c r="AB233" s="47"/>
      <c r="AC233" s="47"/>
      <c r="AD233" s="78"/>
      <c r="AE233" s="90" t="str">
        <f>IF(C233&lt;&gt;"",HYPERLINK(CONCATENATE(SheetName01,"\",Knives[[#This Row],[Manufacturer]],IF(Knives[[#This Row],[Model]]&lt;&gt;""," "&amp;Knives[[#This Row],[Model]],),".jpg"),CONCATENATE(Knives[[#This Row],[Manufacturer]],IF(Knives[[#This Row],[Model]]&lt;&gt;""," "&amp;Knives[[#This Row],[Model]],),".jpg")),"")</f>
        <v/>
      </c>
      <c r="AG233" s="5" t="str">
        <f t="shared" si="7"/>
        <v/>
      </c>
    </row>
    <row r="234" spans="2:33" x14ac:dyDescent="0.25">
      <c r="B234" s="80" t="str">
        <f t="shared" si="6"/>
        <v/>
      </c>
      <c r="C234" s="78"/>
      <c r="D234" s="78"/>
      <c r="E234" s="78"/>
      <c r="F234" s="47"/>
      <c r="G234" s="47"/>
      <c r="H234" s="47"/>
      <c r="I234" s="47"/>
      <c r="J234" s="47"/>
      <c r="K234" s="44"/>
      <c r="L234" s="47"/>
      <c r="M234" s="47"/>
      <c r="N234" s="47"/>
      <c r="O234" s="47"/>
      <c r="P234" s="78"/>
      <c r="Q234" s="44"/>
      <c r="R234" s="78"/>
      <c r="S234" s="47"/>
      <c r="T234" s="47"/>
      <c r="U234" s="111"/>
      <c r="V234" s="47"/>
      <c r="W234" s="47"/>
      <c r="X234" s="147"/>
      <c r="Y234" s="78"/>
      <c r="Z234" s="47"/>
      <c r="AA234" s="47"/>
      <c r="AB234" s="47"/>
      <c r="AC234" s="47"/>
      <c r="AD234" s="78"/>
      <c r="AE234" s="90" t="str">
        <f>IF(C234&lt;&gt;"",HYPERLINK(CONCATENATE(SheetName01,"\",Knives[[#This Row],[Manufacturer]],IF(Knives[[#This Row],[Model]]&lt;&gt;""," "&amp;Knives[[#This Row],[Model]],),".jpg"),CONCATENATE(Knives[[#This Row],[Manufacturer]],IF(Knives[[#This Row],[Model]]&lt;&gt;""," "&amp;Knives[[#This Row],[Model]],),".jpg")),"")</f>
        <v/>
      </c>
      <c r="AG234" s="5" t="str">
        <f t="shared" si="7"/>
        <v/>
      </c>
    </row>
    <row r="235" spans="2:33" x14ac:dyDescent="0.25">
      <c r="B235" s="80" t="str">
        <f t="shared" si="6"/>
        <v/>
      </c>
      <c r="C235" s="78"/>
      <c r="D235" s="78"/>
      <c r="E235" s="78"/>
      <c r="F235" s="47"/>
      <c r="G235" s="47"/>
      <c r="H235" s="47"/>
      <c r="I235" s="47"/>
      <c r="J235" s="47"/>
      <c r="K235" s="44"/>
      <c r="L235" s="47"/>
      <c r="M235" s="47"/>
      <c r="N235" s="47"/>
      <c r="O235" s="47"/>
      <c r="P235" s="78"/>
      <c r="Q235" s="44"/>
      <c r="R235" s="78"/>
      <c r="S235" s="47"/>
      <c r="T235" s="47"/>
      <c r="U235" s="111"/>
      <c r="V235" s="47"/>
      <c r="W235" s="47"/>
      <c r="X235" s="147"/>
      <c r="Y235" s="78"/>
      <c r="Z235" s="47"/>
      <c r="AA235" s="47"/>
      <c r="AB235" s="47"/>
      <c r="AC235" s="47"/>
      <c r="AD235" s="78"/>
      <c r="AE235" s="90" t="str">
        <f>IF(C235&lt;&gt;"",HYPERLINK(CONCATENATE(SheetName01,"\",Knives[[#This Row],[Manufacturer]],IF(Knives[[#This Row],[Model]]&lt;&gt;""," "&amp;Knives[[#This Row],[Model]],),".jpg"),CONCATENATE(Knives[[#This Row],[Manufacturer]],IF(Knives[[#This Row],[Model]]&lt;&gt;""," "&amp;Knives[[#This Row],[Model]],),".jpg")),"")</f>
        <v/>
      </c>
      <c r="AG235" s="5" t="str">
        <f t="shared" si="7"/>
        <v/>
      </c>
    </row>
    <row r="236" spans="2:33" x14ac:dyDescent="0.25">
      <c r="B236" s="80" t="str">
        <f t="shared" si="6"/>
        <v/>
      </c>
      <c r="C236" s="78"/>
      <c r="D236" s="78"/>
      <c r="E236" s="78"/>
      <c r="F236" s="47"/>
      <c r="G236" s="47"/>
      <c r="H236" s="47"/>
      <c r="I236" s="47"/>
      <c r="J236" s="47"/>
      <c r="K236" s="44"/>
      <c r="L236" s="47"/>
      <c r="M236" s="47"/>
      <c r="N236" s="47"/>
      <c r="O236" s="47"/>
      <c r="P236" s="78"/>
      <c r="Q236" s="44"/>
      <c r="R236" s="78"/>
      <c r="S236" s="47"/>
      <c r="T236" s="47"/>
      <c r="U236" s="111"/>
      <c r="V236" s="47"/>
      <c r="W236" s="47"/>
      <c r="X236" s="147"/>
      <c r="Y236" s="78"/>
      <c r="Z236" s="47"/>
      <c r="AA236" s="47"/>
      <c r="AB236" s="47"/>
      <c r="AC236" s="47"/>
      <c r="AD236" s="78"/>
      <c r="AE236" s="90" t="str">
        <f>IF(C236&lt;&gt;"",HYPERLINK(CONCATENATE(SheetName01,"\",Knives[[#This Row],[Manufacturer]],IF(Knives[[#This Row],[Model]]&lt;&gt;""," "&amp;Knives[[#This Row],[Model]],),".jpg"),CONCATENATE(Knives[[#This Row],[Manufacturer]],IF(Knives[[#This Row],[Model]]&lt;&gt;""," "&amp;Knives[[#This Row],[Model]],),".jpg")),"")</f>
        <v/>
      </c>
      <c r="AG236" s="5" t="str">
        <f t="shared" si="7"/>
        <v/>
      </c>
    </row>
    <row r="237" spans="2:33" x14ac:dyDescent="0.25">
      <c r="B237" s="80" t="str">
        <f t="shared" si="6"/>
        <v/>
      </c>
      <c r="C237" s="78"/>
      <c r="D237" s="78"/>
      <c r="E237" s="78"/>
      <c r="F237" s="47"/>
      <c r="G237" s="47"/>
      <c r="H237" s="47"/>
      <c r="I237" s="47"/>
      <c r="J237" s="47"/>
      <c r="K237" s="44"/>
      <c r="L237" s="47"/>
      <c r="M237" s="47"/>
      <c r="N237" s="47"/>
      <c r="O237" s="47"/>
      <c r="P237" s="78"/>
      <c r="Q237" s="44"/>
      <c r="R237" s="78"/>
      <c r="S237" s="47"/>
      <c r="T237" s="47"/>
      <c r="U237" s="111"/>
      <c r="V237" s="47"/>
      <c r="W237" s="47"/>
      <c r="X237" s="147"/>
      <c r="Y237" s="78"/>
      <c r="Z237" s="47"/>
      <c r="AA237" s="47"/>
      <c r="AB237" s="47"/>
      <c r="AC237" s="47"/>
      <c r="AD237" s="78"/>
      <c r="AE237" s="90" t="str">
        <f>IF(C237&lt;&gt;"",HYPERLINK(CONCATENATE(SheetName01,"\",Knives[[#This Row],[Manufacturer]],IF(Knives[[#This Row],[Model]]&lt;&gt;""," "&amp;Knives[[#This Row],[Model]],),".jpg"),CONCATENATE(Knives[[#This Row],[Manufacturer]],IF(Knives[[#This Row],[Model]]&lt;&gt;""," "&amp;Knives[[#This Row],[Model]],),".jpg")),"")</f>
        <v/>
      </c>
      <c r="AG237" s="5" t="str">
        <f t="shared" si="7"/>
        <v/>
      </c>
    </row>
    <row r="238" spans="2:33" x14ac:dyDescent="0.25">
      <c r="B238" s="80" t="str">
        <f t="shared" si="6"/>
        <v/>
      </c>
      <c r="C238" s="78"/>
      <c r="D238" s="78"/>
      <c r="E238" s="78"/>
      <c r="F238" s="47"/>
      <c r="G238" s="47"/>
      <c r="H238" s="47"/>
      <c r="I238" s="47"/>
      <c r="J238" s="47"/>
      <c r="K238" s="44"/>
      <c r="L238" s="47"/>
      <c r="M238" s="47"/>
      <c r="N238" s="47"/>
      <c r="O238" s="47"/>
      <c r="P238" s="78"/>
      <c r="Q238" s="44"/>
      <c r="R238" s="78"/>
      <c r="S238" s="47"/>
      <c r="T238" s="47"/>
      <c r="U238" s="111"/>
      <c r="V238" s="47"/>
      <c r="W238" s="47"/>
      <c r="X238" s="147"/>
      <c r="Y238" s="78"/>
      <c r="Z238" s="47"/>
      <c r="AA238" s="47"/>
      <c r="AB238" s="47"/>
      <c r="AC238" s="47"/>
      <c r="AD238" s="78"/>
      <c r="AE238" s="90" t="str">
        <f>IF(C238&lt;&gt;"",HYPERLINK(CONCATENATE(SheetName01,"\",Knives[[#This Row],[Manufacturer]],IF(Knives[[#This Row],[Model]]&lt;&gt;""," "&amp;Knives[[#This Row],[Model]],),".jpg"),CONCATENATE(Knives[[#This Row],[Manufacturer]],IF(Knives[[#This Row],[Model]]&lt;&gt;""," "&amp;Knives[[#This Row],[Model]],),".jpg")),"")</f>
        <v/>
      </c>
      <c r="AG238" s="5" t="str">
        <f t="shared" si="7"/>
        <v/>
      </c>
    </row>
    <row r="239" spans="2:33" x14ac:dyDescent="0.25">
      <c r="B239" s="80" t="str">
        <f t="shared" si="6"/>
        <v/>
      </c>
      <c r="C239" s="78"/>
      <c r="D239" s="78"/>
      <c r="E239" s="78"/>
      <c r="F239" s="47"/>
      <c r="G239" s="47"/>
      <c r="H239" s="47"/>
      <c r="I239" s="47"/>
      <c r="J239" s="47"/>
      <c r="K239" s="44"/>
      <c r="L239" s="47"/>
      <c r="M239" s="47"/>
      <c r="N239" s="47"/>
      <c r="O239" s="47"/>
      <c r="P239" s="78"/>
      <c r="Q239" s="44"/>
      <c r="R239" s="78"/>
      <c r="S239" s="47"/>
      <c r="T239" s="47"/>
      <c r="U239" s="111"/>
      <c r="V239" s="47"/>
      <c r="W239" s="47"/>
      <c r="X239" s="147"/>
      <c r="Y239" s="78"/>
      <c r="Z239" s="47"/>
      <c r="AA239" s="47"/>
      <c r="AB239" s="47"/>
      <c r="AC239" s="47"/>
      <c r="AD239" s="78"/>
      <c r="AE239" s="90" t="str">
        <f>IF(C239&lt;&gt;"",HYPERLINK(CONCATENATE(SheetName01,"\",Knives[[#This Row],[Manufacturer]],IF(Knives[[#This Row],[Model]]&lt;&gt;""," "&amp;Knives[[#This Row],[Model]],),".jpg"),CONCATENATE(Knives[[#This Row],[Manufacturer]],IF(Knives[[#This Row],[Model]]&lt;&gt;""," "&amp;Knives[[#This Row],[Model]],),".jpg")),"")</f>
        <v/>
      </c>
      <c r="AG239" s="5" t="str">
        <f t="shared" si="7"/>
        <v/>
      </c>
    </row>
    <row r="240" spans="2:33" x14ac:dyDescent="0.25">
      <c r="B240" s="80" t="str">
        <f t="shared" si="6"/>
        <v/>
      </c>
      <c r="C240" s="78"/>
      <c r="D240" s="78"/>
      <c r="E240" s="78"/>
      <c r="F240" s="47"/>
      <c r="G240" s="47"/>
      <c r="H240" s="47"/>
      <c r="I240" s="47"/>
      <c r="J240" s="47"/>
      <c r="K240" s="44"/>
      <c r="L240" s="47"/>
      <c r="M240" s="47"/>
      <c r="N240" s="47"/>
      <c r="O240" s="47"/>
      <c r="P240" s="78"/>
      <c r="Q240" s="44"/>
      <c r="R240" s="78"/>
      <c r="S240" s="47"/>
      <c r="T240" s="47"/>
      <c r="U240" s="111"/>
      <c r="V240" s="47"/>
      <c r="W240" s="47"/>
      <c r="X240" s="147"/>
      <c r="Y240" s="78"/>
      <c r="Z240" s="47"/>
      <c r="AA240" s="47"/>
      <c r="AB240" s="47"/>
      <c r="AC240" s="47"/>
      <c r="AD240" s="78"/>
      <c r="AE240" s="90" t="str">
        <f>IF(C240&lt;&gt;"",HYPERLINK(CONCATENATE(SheetName01,"\",Knives[[#This Row],[Manufacturer]],IF(Knives[[#This Row],[Model]]&lt;&gt;""," "&amp;Knives[[#This Row],[Model]],),".jpg"),CONCATENATE(Knives[[#This Row],[Manufacturer]],IF(Knives[[#This Row],[Model]]&lt;&gt;""," "&amp;Knives[[#This Row],[Model]],),".jpg")),"")</f>
        <v/>
      </c>
      <c r="AG240" s="5" t="str">
        <f t="shared" si="7"/>
        <v/>
      </c>
    </row>
    <row r="241" spans="2:33" x14ac:dyDescent="0.25">
      <c r="B241" s="80" t="str">
        <f t="shared" si="6"/>
        <v/>
      </c>
      <c r="C241" s="78"/>
      <c r="D241" s="78"/>
      <c r="E241" s="78"/>
      <c r="F241" s="47"/>
      <c r="G241" s="47"/>
      <c r="H241" s="47"/>
      <c r="I241" s="47"/>
      <c r="J241" s="47"/>
      <c r="K241" s="44"/>
      <c r="L241" s="47"/>
      <c r="M241" s="47"/>
      <c r="N241" s="47"/>
      <c r="O241" s="47"/>
      <c r="P241" s="78"/>
      <c r="Q241" s="44"/>
      <c r="R241" s="78"/>
      <c r="S241" s="47"/>
      <c r="T241" s="47"/>
      <c r="U241" s="111"/>
      <c r="V241" s="47"/>
      <c r="W241" s="47"/>
      <c r="X241" s="147"/>
      <c r="Y241" s="78"/>
      <c r="Z241" s="47"/>
      <c r="AA241" s="47"/>
      <c r="AB241" s="47"/>
      <c r="AC241" s="47"/>
      <c r="AD241" s="78"/>
      <c r="AE241" s="90" t="str">
        <f>IF(C241&lt;&gt;"",HYPERLINK(CONCATENATE(SheetName01,"\",Knives[[#This Row],[Manufacturer]],IF(Knives[[#This Row],[Model]]&lt;&gt;""," "&amp;Knives[[#This Row],[Model]],),".jpg"),CONCATENATE(Knives[[#This Row],[Manufacturer]],IF(Knives[[#This Row],[Model]]&lt;&gt;""," "&amp;Knives[[#This Row],[Model]],),".jpg")),"")</f>
        <v/>
      </c>
      <c r="AG241" s="5" t="str">
        <f t="shared" si="7"/>
        <v/>
      </c>
    </row>
    <row r="242" spans="2:33" x14ac:dyDescent="0.25">
      <c r="B242" s="80" t="str">
        <f t="shared" si="6"/>
        <v/>
      </c>
      <c r="C242" s="78"/>
      <c r="D242" s="78"/>
      <c r="E242" s="78"/>
      <c r="F242" s="47"/>
      <c r="G242" s="47"/>
      <c r="H242" s="47"/>
      <c r="I242" s="47"/>
      <c r="J242" s="47"/>
      <c r="K242" s="44"/>
      <c r="L242" s="47"/>
      <c r="M242" s="47"/>
      <c r="N242" s="47"/>
      <c r="O242" s="47"/>
      <c r="P242" s="78"/>
      <c r="Q242" s="44"/>
      <c r="R242" s="78"/>
      <c r="S242" s="47"/>
      <c r="T242" s="47"/>
      <c r="U242" s="111"/>
      <c r="V242" s="47"/>
      <c r="W242" s="47"/>
      <c r="X242" s="147"/>
      <c r="Y242" s="78"/>
      <c r="Z242" s="47"/>
      <c r="AA242" s="47"/>
      <c r="AB242" s="47"/>
      <c r="AC242" s="47"/>
      <c r="AD242" s="78"/>
      <c r="AE242" s="90" t="str">
        <f>IF(C242&lt;&gt;"",HYPERLINK(CONCATENATE(SheetName01,"\",Knives[[#This Row],[Manufacturer]],IF(Knives[[#This Row],[Model]]&lt;&gt;""," "&amp;Knives[[#This Row],[Model]],),".jpg"),CONCATENATE(Knives[[#This Row],[Manufacturer]],IF(Knives[[#This Row],[Model]]&lt;&gt;""," "&amp;Knives[[#This Row],[Model]],),".jpg")),"")</f>
        <v/>
      </c>
      <c r="AG242" s="5" t="str">
        <f t="shared" si="7"/>
        <v/>
      </c>
    </row>
    <row r="243" spans="2:33" x14ac:dyDescent="0.25">
      <c r="B243" s="80" t="str">
        <f t="shared" si="6"/>
        <v/>
      </c>
      <c r="C243" s="78"/>
      <c r="D243" s="78"/>
      <c r="E243" s="78"/>
      <c r="F243" s="47"/>
      <c r="G243" s="47"/>
      <c r="H243" s="47"/>
      <c r="I243" s="47"/>
      <c r="J243" s="47"/>
      <c r="K243" s="44"/>
      <c r="L243" s="47"/>
      <c r="M243" s="47"/>
      <c r="N243" s="47"/>
      <c r="O243" s="47"/>
      <c r="P243" s="78"/>
      <c r="Q243" s="44"/>
      <c r="R243" s="78"/>
      <c r="S243" s="47"/>
      <c r="T243" s="47"/>
      <c r="U243" s="111"/>
      <c r="V243" s="47"/>
      <c r="W243" s="47"/>
      <c r="X243" s="147"/>
      <c r="Y243" s="78"/>
      <c r="Z243" s="47"/>
      <c r="AA243" s="47"/>
      <c r="AB243" s="47"/>
      <c r="AC243" s="47"/>
      <c r="AD243" s="78"/>
      <c r="AE243" s="90" t="str">
        <f>IF(C243&lt;&gt;"",HYPERLINK(CONCATENATE(SheetName01,"\",Knives[[#This Row],[Manufacturer]],IF(Knives[[#This Row],[Model]]&lt;&gt;""," "&amp;Knives[[#This Row],[Model]],),".jpg"),CONCATENATE(Knives[[#This Row],[Manufacturer]],IF(Knives[[#This Row],[Model]]&lt;&gt;""," "&amp;Knives[[#This Row],[Model]],),".jpg")),"")</f>
        <v/>
      </c>
      <c r="AG243" s="5" t="str">
        <f t="shared" si="7"/>
        <v/>
      </c>
    </row>
    <row r="244" spans="2:33" x14ac:dyDescent="0.25">
      <c r="B244" s="80" t="str">
        <f t="shared" si="6"/>
        <v/>
      </c>
      <c r="C244" s="78"/>
      <c r="D244" s="78"/>
      <c r="E244" s="78"/>
      <c r="F244" s="47"/>
      <c r="G244" s="47"/>
      <c r="H244" s="47"/>
      <c r="I244" s="47"/>
      <c r="J244" s="47"/>
      <c r="K244" s="44"/>
      <c r="L244" s="47"/>
      <c r="M244" s="47"/>
      <c r="N244" s="47"/>
      <c r="O244" s="47"/>
      <c r="P244" s="78"/>
      <c r="Q244" s="44"/>
      <c r="R244" s="78"/>
      <c r="S244" s="47"/>
      <c r="T244" s="47"/>
      <c r="U244" s="111"/>
      <c r="V244" s="47"/>
      <c r="W244" s="47"/>
      <c r="X244" s="147"/>
      <c r="Y244" s="78"/>
      <c r="Z244" s="47"/>
      <c r="AA244" s="47"/>
      <c r="AB244" s="47"/>
      <c r="AC244" s="47"/>
      <c r="AD244" s="78"/>
      <c r="AE244" s="90" t="str">
        <f>IF(C244&lt;&gt;"",HYPERLINK(CONCATENATE(SheetName01,"\",Knives[[#This Row],[Manufacturer]],IF(Knives[[#This Row],[Model]]&lt;&gt;""," "&amp;Knives[[#This Row],[Model]],),".jpg"),CONCATENATE(Knives[[#This Row],[Manufacturer]],IF(Knives[[#This Row],[Model]]&lt;&gt;""," "&amp;Knives[[#This Row],[Model]],),".jpg")),"")</f>
        <v/>
      </c>
      <c r="AG244" s="5" t="str">
        <f t="shared" si="7"/>
        <v/>
      </c>
    </row>
    <row r="245" spans="2:33" x14ac:dyDescent="0.25">
      <c r="B245" s="80" t="str">
        <f t="shared" si="6"/>
        <v/>
      </c>
      <c r="C245" s="78"/>
      <c r="D245" s="78"/>
      <c r="E245" s="78"/>
      <c r="F245" s="47"/>
      <c r="G245" s="47"/>
      <c r="H245" s="47"/>
      <c r="I245" s="47"/>
      <c r="J245" s="47"/>
      <c r="K245" s="44"/>
      <c r="L245" s="47"/>
      <c r="M245" s="47"/>
      <c r="N245" s="47"/>
      <c r="O245" s="47"/>
      <c r="P245" s="78"/>
      <c r="Q245" s="44"/>
      <c r="R245" s="78"/>
      <c r="S245" s="47"/>
      <c r="T245" s="47"/>
      <c r="U245" s="111"/>
      <c r="V245" s="47"/>
      <c r="W245" s="47"/>
      <c r="X245" s="147"/>
      <c r="Y245" s="78"/>
      <c r="Z245" s="47"/>
      <c r="AA245" s="47"/>
      <c r="AB245" s="47"/>
      <c r="AC245" s="47"/>
      <c r="AD245" s="78"/>
      <c r="AE245" s="90" t="str">
        <f>IF(C245&lt;&gt;"",HYPERLINK(CONCATENATE(SheetName01,"\",Knives[[#This Row],[Manufacturer]],IF(Knives[[#This Row],[Model]]&lt;&gt;""," "&amp;Knives[[#This Row],[Model]],),".jpg"),CONCATENATE(Knives[[#This Row],[Manufacturer]],IF(Knives[[#This Row],[Model]]&lt;&gt;""," "&amp;Knives[[#This Row],[Model]],),".jpg")),"")</f>
        <v/>
      </c>
      <c r="AG245" s="5" t="str">
        <f t="shared" si="7"/>
        <v/>
      </c>
    </row>
    <row r="246" spans="2:33" x14ac:dyDescent="0.25">
      <c r="B246" s="80" t="str">
        <f t="shared" si="6"/>
        <v/>
      </c>
      <c r="C246" s="78"/>
      <c r="D246" s="78"/>
      <c r="E246" s="78"/>
      <c r="F246" s="47"/>
      <c r="G246" s="47"/>
      <c r="H246" s="47"/>
      <c r="I246" s="47"/>
      <c r="J246" s="47"/>
      <c r="K246" s="44"/>
      <c r="L246" s="47"/>
      <c r="M246" s="47"/>
      <c r="N246" s="47"/>
      <c r="O246" s="47"/>
      <c r="P246" s="78"/>
      <c r="Q246" s="44"/>
      <c r="R246" s="78"/>
      <c r="S246" s="47"/>
      <c r="T246" s="47"/>
      <c r="U246" s="111"/>
      <c r="V246" s="47"/>
      <c r="W246" s="47"/>
      <c r="X246" s="147"/>
      <c r="Y246" s="78"/>
      <c r="Z246" s="47"/>
      <c r="AA246" s="47"/>
      <c r="AB246" s="47"/>
      <c r="AC246" s="47"/>
      <c r="AD246" s="78"/>
      <c r="AE246" s="90" t="str">
        <f>IF(C246&lt;&gt;"",HYPERLINK(CONCATENATE(SheetName01,"\",Knives[[#This Row],[Manufacturer]],IF(Knives[[#This Row],[Model]]&lt;&gt;""," "&amp;Knives[[#This Row],[Model]],),".jpg"),CONCATENATE(Knives[[#This Row],[Manufacturer]],IF(Knives[[#This Row],[Model]]&lt;&gt;""," "&amp;Knives[[#This Row],[Model]],),".jpg")),"")</f>
        <v/>
      </c>
      <c r="AG246" s="5" t="str">
        <f t="shared" si="7"/>
        <v/>
      </c>
    </row>
    <row r="247" spans="2:33" x14ac:dyDescent="0.25">
      <c r="B247" s="80" t="str">
        <f t="shared" si="6"/>
        <v/>
      </c>
      <c r="C247" s="78"/>
      <c r="D247" s="78"/>
      <c r="E247" s="78"/>
      <c r="F247" s="47"/>
      <c r="G247" s="47"/>
      <c r="H247" s="47"/>
      <c r="I247" s="47"/>
      <c r="J247" s="47"/>
      <c r="K247" s="44"/>
      <c r="L247" s="47"/>
      <c r="M247" s="47"/>
      <c r="N247" s="47"/>
      <c r="O247" s="47"/>
      <c r="P247" s="78"/>
      <c r="Q247" s="44"/>
      <c r="R247" s="78"/>
      <c r="S247" s="47"/>
      <c r="T247" s="47"/>
      <c r="U247" s="111"/>
      <c r="V247" s="47"/>
      <c r="W247" s="47"/>
      <c r="X247" s="147"/>
      <c r="Y247" s="78"/>
      <c r="Z247" s="47"/>
      <c r="AA247" s="47"/>
      <c r="AB247" s="47"/>
      <c r="AC247" s="47"/>
      <c r="AD247" s="78"/>
      <c r="AE247" s="90" t="str">
        <f>IF(C247&lt;&gt;"",HYPERLINK(CONCATENATE(SheetName01,"\",Knives[[#This Row],[Manufacturer]],IF(Knives[[#This Row],[Model]]&lt;&gt;""," "&amp;Knives[[#This Row],[Model]],),".jpg"),CONCATENATE(Knives[[#This Row],[Manufacturer]],IF(Knives[[#This Row],[Model]]&lt;&gt;""," "&amp;Knives[[#This Row],[Model]],),".jpg")),"")</f>
        <v/>
      </c>
      <c r="AG247" s="5" t="str">
        <f t="shared" si="7"/>
        <v/>
      </c>
    </row>
    <row r="248" spans="2:33" x14ac:dyDescent="0.25">
      <c r="B248" s="80" t="str">
        <f t="shared" si="6"/>
        <v/>
      </c>
      <c r="C248" s="78"/>
      <c r="D248" s="78"/>
      <c r="E248" s="78"/>
      <c r="F248" s="47"/>
      <c r="G248" s="47"/>
      <c r="H248" s="47"/>
      <c r="I248" s="47"/>
      <c r="J248" s="47"/>
      <c r="K248" s="44"/>
      <c r="L248" s="47"/>
      <c r="M248" s="47"/>
      <c r="N248" s="47"/>
      <c r="O248" s="47"/>
      <c r="P248" s="78"/>
      <c r="Q248" s="44"/>
      <c r="R248" s="78"/>
      <c r="S248" s="47"/>
      <c r="T248" s="47"/>
      <c r="U248" s="111"/>
      <c r="V248" s="47"/>
      <c r="W248" s="47"/>
      <c r="X248" s="147"/>
      <c r="Y248" s="78"/>
      <c r="Z248" s="47"/>
      <c r="AA248" s="47"/>
      <c r="AB248" s="47"/>
      <c r="AC248" s="47"/>
      <c r="AD248" s="78"/>
      <c r="AE248" s="90" t="str">
        <f>IF(C248&lt;&gt;"",HYPERLINK(CONCATENATE(SheetName01,"\",Knives[[#This Row],[Manufacturer]],IF(Knives[[#This Row],[Model]]&lt;&gt;""," "&amp;Knives[[#This Row],[Model]],),".jpg"),CONCATENATE(Knives[[#This Row],[Manufacturer]],IF(Knives[[#This Row],[Model]]&lt;&gt;""," "&amp;Knives[[#This Row],[Model]],),".jpg")),"")</f>
        <v/>
      </c>
      <c r="AG248" s="5" t="str">
        <f t="shared" si="7"/>
        <v/>
      </c>
    </row>
    <row r="249" spans="2:33" x14ac:dyDescent="0.25">
      <c r="B249" s="80" t="str">
        <f t="shared" si="6"/>
        <v/>
      </c>
      <c r="C249" s="78"/>
      <c r="D249" s="78"/>
      <c r="E249" s="78"/>
      <c r="F249" s="47"/>
      <c r="G249" s="47"/>
      <c r="H249" s="47"/>
      <c r="I249" s="47"/>
      <c r="J249" s="47"/>
      <c r="K249" s="44"/>
      <c r="L249" s="47"/>
      <c r="M249" s="47"/>
      <c r="N249" s="47"/>
      <c r="O249" s="47"/>
      <c r="P249" s="78"/>
      <c r="Q249" s="44"/>
      <c r="R249" s="78"/>
      <c r="S249" s="47"/>
      <c r="T249" s="47"/>
      <c r="U249" s="111"/>
      <c r="V249" s="47"/>
      <c r="W249" s="47"/>
      <c r="X249" s="147"/>
      <c r="Y249" s="78"/>
      <c r="Z249" s="47"/>
      <c r="AA249" s="47"/>
      <c r="AB249" s="47"/>
      <c r="AC249" s="47"/>
      <c r="AD249" s="78"/>
      <c r="AE249" s="90" t="str">
        <f>IF(C249&lt;&gt;"",HYPERLINK(CONCATENATE(SheetName01,"\",Knives[[#This Row],[Manufacturer]],IF(Knives[[#This Row],[Model]]&lt;&gt;""," "&amp;Knives[[#This Row],[Model]],),".jpg"),CONCATENATE(Knives[[#This Row],[Manufacturer]],IF(Knives[[#This Row],[Model]]&lt;&gt;""," "&amp;Knives[[#This Row],[Model]],),".jpg")),"")</f>
        <v/>
      </c>
      <c r="AG249" s="5" t="str">
        <f t="shared" si="7"/>
        <v/>
      </c>
    </row>
    <row r="250" spans="2:33" x14ac:dyDescent="0.25">
      <c r="B250" s="80" t="str">
        <f t="shared" si="6"/>
        <v/>
      </c>
      <c r="C250" s="78"/>
      <c r="D250" s="78"/>
      <c r="E250" s="78"/>
      <c r="F250" s="47"/>
      <c r="G250" s="47"/>
      <c r="H250" s="47"/>
      <c r="I250" s="47"/>
      <c r="J250" s="47"/>
      <c r="K250" s="44"/>
      <c r="L250" s="47"/>
      <c r="M250" s="47"/>
      <c r="N250" s="47"/>
      <c r="O250" s="47"/>
      <c r="P250" s="78"/>
      <c r="Q250" s="44"/>
      <c r="R250" s="78"/>
      <c r="S250" s="47"/>
      <c r="T250" s="47"/>
      <c r="U250" s="111"/>
      <c r="V250" s="47"/>
      <c r="W250" s="47"/>
      <c r="X250" s="147"/>
      <c r="Y250" s="78"/>
      <c r="Z250" s="47"/>
      <c r="AA250" s="47"/>
      <c r="AB250" s="47"/>
      <c r="AC250" s="47"/>
      <c r="AD250" s="78"/>
      <c r="AE250" s="90" t="str">
        <f>IF(C250&lt;&gt;"",HYPERLINK(CONCATENATE(SheetName01,"\",Knives[[#This Row],[Manufacturer]],IF(Knives[[#This Row],[Model]]&lt;&gt;""," "&amp;Knives[[#This Row],[Model]],),".jpg"),CONCATENATE(Knives[[#This Row],[Manufacturer]],IF(Knives[[#This Row],[Model]]&lt;&gt;""," "&amp;Knives[[#This Row],[Model]],),".jpg")),"")</f>
        <v/>
      </c>
      <c r="AG250" s="5" t="str">
        <f t="shared" si="7"/>
        <v/>
      </c>
    </row>
    <row r="251" spans="2:33" x14ac:dyDescent="0.25">
      <c r="B251" s="80" t="str">
        <f t="shared" si="6"/>
        <v/>
      </c>
      <c r="C251" s="78"/>
      <c r="D251" s="78"/>
      <c r="E251" s="78"/>
      <c r="F251" s="47"/>
      <c r="G251" s="47"/>
      <c r="H251" s="47"/>
      <c r="I251" s="47"/>
      <c r="J251" s="47"/>
      <c r="K251" s="44"/>
      <c r="L251" s="47"/>
      <c r="M251" s="47"/>
      <c r="N251" s="47"/>
      <c r="O251" s="47"/>
      <c r="P251" s="78"/>
      <c r="Q251" s="44"/>
      <c r="R251" s="78"/>
      <c r="S251" s="47"/>
      <c r="T251" s="47"/>
      <c r="U251" s="111"/>
      <c r="V251" s="47"/>
      <c r="W251" s="47"/>
      <c r="X251" s="147"/>
      <c r="Y251" s="78"/>
      <c r="Z251" s="47"/>
      <c r="AA251" s="47"/>
      <c r="AB251" s="47"/>
      <c r="AC251" s="47"/>
      <c r="AD251" s="78"/>
      <c r="AE251" s="90" t="str">
        <f>IF(C251&lt;&gt;"",HYPERLINK(CONCATENATE(SheetName01,"\",Knives[[#This Row],[Manufacturer]],IF(Knives[[#This Row],[Model]]&lt;&gt;""," "&amp;Knives[[#This Row],[Model]],),".jpg"),CONCATENATE(Knives[[#This Row],[Manufacturer]],IF(Knives[[#This Row],[Model]]&lt;&gt;""," "&amp;Knives[[#This Row],[Model]],),".jpg")),"")</f>
        <v/>
      </c>
      <c r="AG251" s="5" t="str">
        <f t="shared" si="7"/>
        <v/>
      </c>
    </row>
    <row r="252" spans="2:33" x14ac:dyDescent="0.25">
      <c r="B252" s="80" t="str">
        <f t="shared" si="6"/>
        <v/>
      </c>
      <c r="C252" s="78"/>
      <c r="D252" s="78"/>
      <c r="E252" s="78"/>
      <c r="F252" s="47"/>
      <c r="G252" s="47"/>
      <c r="H252" s="47"/>
      <c r="I252" s="47"/>
      <c r="J252" s="47"/>
      <c r="K252" s="44"/>
      <c r="L252" s="47"/>
      <c r="M252" s="47"/>
      <c r="N252" s="47"/>
      <c r="O252" s="47"/>
      <c r="P252" s="78"/>
      <c r="Q252" s="44"/>
      <c r="R252" s="78"/>
      <c r="S252" s="47"/>
      <c r="T252" s="47"/>
      <c r="U252" s="111"/>
      <c r="V252" s="47"/>
      <c r="W252" s="47"/>
      <c r="X252" s="147"/>
      <c r="Y252" s="78"/>
      <c r="Z252" s="47"/>
      <c r="AA252" s="47"/>
      <c r="AB252" s="47"/>
      <c r="AC252" s="47"/>
      <c r="AD252" s="78"/>
      <c r="AE252" s="90" t="str">
        <f>IF(C252&lt;&gt;"",HYPERLINK(CONCATENATE(SheetName01,"\",Knives[[#This Row],[Manufacturer]],IF(Knives[[#This Row],[Model]]&lt;&gt;""," "&amp;Knives[[#This Row],[Model]],),".jpg"),CONCATENATE(Knives[[#This Row],[Manufacturer]],IF(Knives[[#This Row],[Model]]&lt;&gt;""," "&amp;Knives[[#This Row],[Model]],),".jpg")),"")</f>
        <v/>
      </c>
      <c r="AG252" s="5" t="str">
        <f t="shared" si="7"/>
        <v/>
      </c>
    </row>
    <row r="253" spans="2:33" x14ac:dyDescent="0.25">
      <c r="B253" s="80" t="str">
        <f t="shared" si="6"/>
        <v/>
      </c>
      <c r="C253" s="78"/>
      <c r="D253" s="78"/>
      <c r="E253" s="78"/>
      <c r="F253" s="47"/>
      <c r="G253" s="47"/>
      <c r="H253" s="47"/>
      <c r="I253" s="47"/>
      <c r="J253" s="47"/>
      <c r="K253" s="44"/>
      <c r="L253" s="47"/>
      <c r="M253" s="47"/>
      <c r="N253" s="47"/>
      <c r="O253" s="47"/>
      <c r="P253" s="78"/>
      <c r="Q253" s="44"/>
      <c r="R253" s="78"/>
      <c r="S253" s="47"/>
      <c r="T253" s="47"/>
      <c r="U253" s="111"/>
      <c r="V253" s="47"/>
      <c r="W253" s="47"/>
      <c r="X253" s="147"/>
      <c r="Y253" s="78"/>
      <c r="Z253" s="47"/>
      <c r="AA253" s="47"/>
      <c r="AB253" s="47"/>
      <c r="AC253" s="47"/>
      <c r="AD253" s="78"/>
      <c r="AE253" s="90" t="str">
        <f>IF(C253&lt;&gt;"",HYPERLINK(CONCATENATE(SheetName01,"\",Knives[[#This Row],[Manufacturer]],IF(Knives[[#This Row],[Model]]&lt;&gt;""," "&amp;Knives[[#This Row],[Model]],),".jpg"),CONCATENATE(Knives[[#This Row],[Manufacturer]],IF(Knives[[#This Row],[Model]]&lt;&gt;""," "&amp;Knives[[#This Row],[Model]],),".jpg")),"")</f>
        <v/>
      </c>
      <c r="AG253" s="5" t="str">
        <f t="shared" si="7"/>
        <v/>
      </c>
    </row>
    <row r="254" spans="2:33" x14ac:dyDescent="0.25">
      <c r="B254" s="80" t="str">
        <f t="shared" si="6"/>
        <v/>
      </c>
      <c r="C254" s="78"/>
      <c r="D254" s="78"/>
      <c r="E254" s="78"/>
      <c r="F254" s="47"/>
      <c r="G254" s="47"/>
      <c r="H254" s="47"/>
      <c r="I254" s="47"/>
      <c r="J254" s="47"/>
      <c r="K254" s="44"/>
      <c r="L254" s="47"/>
      <c r="M254" s="47"/>
      <c r="N254" s="47"/>
      <c r="O254" s="47"/>
      <c r="P254" s="78"/>
      <c r="Q254" s="44"/>
      <c r="R254" s="78"/>
      <c r="S254" s="47"/>
      <c r="T254" s="47"/>
      <c r="U254" s="111"/>
      <c r="V254" s="47"/>
      <c r="W254" s="47"/>
      <c r="X254" s="147"/>
      <c r="Y254" s="78"/>
      <c r="Z254" s="47"/>
      <c r="AA254" s="47"/>
      <c r="AB254" s="47"/>
      <c r="AC254" s="47"/>
      <c r="AD254" s="78"/>
      <c r="AE254" s="90" t="str">
        <f>IF(C254&lt;&gt;"",HYPERLINK(CONCATENATE(SheetName01,"\",Knives[[#This Row],[Manufacturer]],IF(Knives[[#This Row],[Model]]&lt;&gt;""," "&amp;Knives[[#This Row],[Model]],),".jpg"),CONCATENATE(Knives[[#This Row],[Manufacturer]],IF(Knives[[#This Row],[Model]]&lt;&gt;""," "&amp;Knives[[#This Row],[Model]],),".jpg")),"")</f>
        <v/>
      </c>
      <c r="AG254" s="5" t="str">
        <f t="shared" si="7"/>
        <v/>
      </c>
    </row>
    <row r="255" spans="2:33" x14ac:dyDescent="0.25">
      <c r="B255" s="80" t="str">
        <f t="shared" si="6"/>
        <v/>
      </c>
      <c r="C255" s="78"/>
      <c r="D255" s="78"/>
      <c r="E255" s="78"/>
      <c r="F255" s="47"/>
      <c r="G255" s="47"/>
      <c r="H255" s="47"/>
      <c r="I255" s="47"/>
      <c r="J255" s="47"/>
      <c r="K255" s="44"/>
      <c r="L255" s="47"/>
      <c r="M255" s="47"/>
      <c r="N255" s="47"/>
      <c r="O255" s="47"/>
      <c r="P255" s="78"/>
      <c r="Q255" s="44"/>
      <c r="R255" s="78"/>
      <c r="S255" s="47"/>
      <c r="T255" s="47"/>
      <c r="U255" s="111"/>
      <c r="V255" s="47"/>
      <c r="W255" s="47"/>
      <c r="X255" s="147"/>
      <c r="Y255" s="78"/>
      <c r="Z255" s="47"/>
      <c r="AA255" s="47"/>
      <c r="AB255" s="47"/>
      <c r="AC255" s="47"/>
      <c r="AD255" s="78"/>
      <c r="AE255" s="90" t="str">
        <f>IF(C255&lt;&gt;"",HYPERLINK(CONCATENATE(SheetName01,"\",Knives[[#This Row],[Manufacturer]],IF(Knives[[#This Row],[Model]]&lt;&gt;""," "&amp;Knives[[#This Row],[Model]],),".jpg"),CONCATENATE(Knives[[#This Row],[Manufacturer]],IF(Knives[[#This Row],[Model]]&lt;&gt;""," "&amp;Knives[[#This Row],[Model]],),".jpg")),"")</f>
        <v/>
      </c>
      <c r="AG255" s="5" t="str">
        <f t="shared" si="7"/>
        <v/>
      </c>
    </row>
  </sheetData>
  <sheetProtection sheet="1" objects="1" scenarios="1" formatCells="0" formatColumns="0" formatRows="0" insertColumns="0" sort="0" autoFilter="0"/>
  <mergeCells count="4">
    <mergeCell ref="C2:Q2"/>
    <mergeCell ref="R2:U2"/>
    <mergeCell ref="V2:W2"/>
    <mergeCell ref="Z2:AB2"/>
  </mergeCells>
  <conditionalFormatting sqref="T6:T255">
    <cfRule type="expression" dxfId="118" priority="3">
      <formula>AND($T6&lt;&gt;DefaultKJD,$T6&lt;&gt;"")</formula>
    </cfRule>
  </conditionalFormatting>
  <conditionalFormatting sqref="T5">
    <cfRule type="expression" dxfId="117" priority="1">
      <formula>AND($T5&lt;&gt;DefaultKJD,$T5&lt;&gt;"")</formula>
    </cfRule>
  </conditionalFormatting>
  <conditionalFormatting sqref="T4">
    <cfRule type="expression" dxfId="116" priority="2">
      <formula>AND($T4&lt;&gt;DefaultKJD,$T4&lt;&gt;"")</formula>
    </cfRule>
  </conditionalFormatting>
  <dataValidations count="3">
    <dataValidation type="custom" allowBlank="1" showInputMessage="1" showErrorMessage="1" sqref="C4:C255">
      <formula1>COUNTIF($C$3:$C3,"")=0</formula1>
    </dataValidation>
    <dataValidation type="list" allowBlank="1" sqref="R4:R255">
      <formula1>JigsKnivesDList</formula1>
    </dataValidation>
    <dataValidation type="list" allowBlank="1" sqref="K4:K255">
      <formula1>KnivesGrindDList</formula1>
    </dataValidation>
  </dataValidations>
  <pageMargins left="0.51181102362204722" right="0.51181102362204722" top="0.39370078740157483" bottom="0.39370078740157483" header="0.31496062992125984" footer="0.31496062992125984"/>
  <pageSetup paperSize="9" scale="49" fitToWidth="2" fitToHeight="0" pageOrder="overThenDown" orientation="landscape" draft="1" horizontalDpi="0" verticalDpi="0" r:id="rId1"/>
  <legacy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ist4">
    <tabColor theme="3" tint="0.59999389629810485"/>
    <pageSetUpPr fitToPage="1"/>
  </sheetPr>
  <dimension ref="B1:AG255"/>
  <sheetViews>
    <sheetView zoomScale="90" zoomScaleNormal="90" workbookViewId="0">
      <pane xSplit="4" ySplit="3" topLeftCell="E4" activePane="bottomRight" state="frozen"/>
      <selection pane="topRight" activeCell="E1" sqref="E1"/>
      <selection pane="bottomLeft" activeCell="A4" sqref="A4"/>
      <selection pane="bottomRight" activeCell="C6" sqref="C6"/>
    </sheetView>
  </sheetViews>
  <sheetFormatPr defaultRowHeight="15" x14ac:dyDescent="0.25"/>
  <cols>
    <col min="1" max="1" width="1.7109375" style="5" customWidth="1"/>
    <col min="2" max="2" width="8.140625" style="5" customWidth="1"/>
    <col min="3" max="3" width="20.42578125" style="81" customWidth="1"/>
    <col min="4" max="4" width="19" style="81" customWidth="1"/>
    <col min="5" max="5" width="10.42578125" style="5" customWidth="1"/>
    <col min="6" max="9" width="12.7109375" style="5" customWidth="1"/>
    <col min="10" max="10" width="10.7109375" style="5" customWidth="1"/>
    <col min="11" max="15" width="12.7109375" style="5" customWidth="1"/>
    <col min="16" max="16" width="17.85546875" style="81" customWidth="1"/>
    <col min="17" max="17" width="7.28515625" style="5" customWidth="1"/>
    <col min="18" max="18" width="9.28515625" style="5" customWidth="1"/>
    <col min="19" max="23" width="11.5703125" style="5" customWidth="1"/>
    <col min="24" max="24" width="12.85546875" style="5" customWidth="1"/>
    <col min="25" max="25" width="42" style="5" customWidth="1"/>
    <col min="26" max="29" width="11.140625" style="5" customWidth="1"/>
    <col min="30" max="30" width="121.5703125" style="5" customWidth="1"/>
    <col min="31" max="31" width="35.42578125" style="5" customWidth="1"/>
    <col min="32" max="32" width="9.140625" style="5"/>
    <col min="33" max="33" width="35.7109375" style="5" hidden="1" customWidth="1"/>
    <col min="34" max="16384" width="9.140625" style="5"/>
  </cols>
  <sheetData>
    <row r="1" spans="2:33" x14ac:dyDescent="0.25">
      <c r="F1" s="23"/>
      <c r="G1" s="23"/>
      <c r="H1" s="23"/>
      <c r="I1" s="23"/>
      <c r="J1" s="23"/>
      <c r="K1" s="23"/>
      <c r="L1" s="23"/>
      <c r="M1" s="23"/>
      <c r="N1" s="23"/>
      <c r="O1" s="23"/>
      <c r="Q1" s="23"/>
      <c r="S1" s="23"/>
      <c r="T1" s="23"/>
      <c r="U1" s="23"/>
      <c r="V1" s="23"/>
      <c r="W1" s="23"/>
      <c r="X1" s="23"/>
      <c r="Z1" s="23"/>
      <c r="AA1" s="23"/>
      <c r="AB1" s="23"/>
      <c r="AC1" s="23"/>
    </row>
    <row r="2" spans="2:33" x14ac:dyDescent="0.25">
      <c r="B2" s="152"/>
      <c r="C2" s="265" t="s">
        <v>288</v>
      </c>
      <c r="D2" s="265"/>
      <c r="E2" s="265"/>
      <c r="F2" s="265"/>
      <c r="G2" s="265"/>
      <c r="H2" s="265"/>
      <c r="I2" s="265"/>
      <c r="J2" s="265"/>
      <c r="K2" s="265"/>
      <c r="L2" s="265"/>
      <c r="M2" s="265"/>
      <c r="N2" s="265"/>
      <c r="O2" s="265"/>
      <c r="P2" s="265"/>
      <c r="Q2" s="266"/>
      <c r="R2" s="267" t="s">
        <v>27</v>
      </c>
      <c r="S2" s="268"/>
      <c r="T2" s="268"/>
      <c r="U2" s="269"/>
      <c r="V2" s="267" t="s">
        <v>152</v>
      </c>
      <c r="W2" s="268"/>
      <c r="X2" s="140" t="s">
        <v>126</v>
      </c>
      <c r="Y2" s="82" t="s">
        <v>28</v>
      </c>
      <c r="Z2" s="267" t="s">
        <v>133</v>
      </c>
      <c r="AA2" s="268"/>
      <c r="AB2" s="269"/>
      <c r="AC2" s="140"/>
      <c r="AD2" s="98"/>
      <c r="AE2" s="83"/>
    </row>
    <row r="3" spans="2:33" x14ac:dyDescent="0.25">
      <c r="B3" s="77" t="s">
        <v>76</v>
      </c>
      <c r="C3" s="84" t="s">
        <v>29</v>
      </c>
      <c r="D3" s="85" t="s">
        <v>43</v>
      </c>
      <c r="E3" s="85" t="s">
        <v>31</v>
      </c>
      <c r="F3" s="85" t="s">
        <v>32</v>
      </c>
      <c r="G3" s="85" t="s">
        <v>33</v>
      </c>
      <c r="H3" s="85" t="s">
        <v>34</v>
      </c>
      <c r="I3" s="85" t="s">
        <v>35</v>
      </c>
      <c r="J3" s="85" t="s">
        <v>36</v>
      </c>
      <c r="K3" s="85" t="s">
        <v>37</v>
      </c>
      <c r="L3" s="85" t="s">
        <v>131</v>
      </c>
      <c r="M3" s="85" t="s">
        <v>45</v>
      </c>
      <c r="N3" s="85" t="s">
        <v>109</v>
      </c>
      <c r="O3" s="132" t="s">
        <v>95</v>
      </c>
      <c r="P3" s="85" t="s">
        <v>38</v>
      </c>
      <c r="Q3" s="85" t="s">
        <v>39</v>
      </c>
      <c r="R3" s="85" t="s">
        <v>118</v>
      </c>
      <c r="S3" s="87" t="s">
        <v>40</v>
      </c>
      <c r="T3" s="85" t="s">
        <v>57</v>
      </c>
      <c r="U3" s="85" t="s">
        <v>124</v>
      </c>
      <c r="V3" s="103" t="s">
        <v>150</v>
      </c>
      <c r="W3" s="103" t="s">
        <v>151</v>
      </c>
      <c r="X3" s="85" t="s">
        <v>125</v>
      </c>
      <c r="Y3" s="85" t="s">
        <v>117</v>
      </c>
      <c r="Z3" s="85" t="s">
        <v>50</v>
      </c>
      <c r="AA3" s="85" t="s">
        <v>204</v>
      </c>
      <c r="AB3" s="85" t="s">
        <v>121</v>
      </c>
      <c r="AC3" s="103" t="s">
        <v>276</v>
      </c>
      <c r="AD3" s="150" t="s">
        <v>134</v>
      </c>
      <c r="AE3" s="77" t="s">
        <v>108</v>
      </c>
      <c r="AG3" s="5" t="s">
        <v>116</v>
      </c>
    </row>
    <row r="4" spans="2:33" x14ac:dyDescent="0.25">
      <c r="B4" s="80">
        <f t="shared" ref="B4:B5" si="0">IF(C4&lt;&gt;"",ROW(A1),"")</f>
        <v>1</v>
      </c>
      <c r="C4" s="153" t="s">
        <v>310</v>
      </c>
      <c r="D4" s="153" t="s">
        <v>311</v>
      </c>
      <c r="E4" s="78" t="s">
        <v>14</v>
      </c>
      <c r="F4" s="47">
        <v>294</v>
      </c>
      <c r="G4" s="47">
        <v>160</v>
      </c>
      <c r="H4" s="47">
        <v>126</v>
      </c>
      <c r="I4" s="47">
        <v>24.8</v>
      </c>
      <c r="J4" s="47">
        <v>7.2</v>
      </c>
      <c r="K4" s="44" t="s">
        <v>86</v>
      </c>
      <c r="L4" s="47">
        <v>8.8000000000000007</v>
      </c>
      <c r="M4" s="47"/>
      <c r="N4" s="47">
        <v>3.9</v>
      </c>
      <c r="O4" s="47">
        <v>8.5</v>
      </c>
      <c r="P4" s="78"/>
      <c r="Q4" s="44"/>
      <c r="R4" s="78" t="s">
        <v>87</v>
      </c>
      <c r="S4" s="47">
        <v>66.099999999999994</v>
      </c>
      <c r="T4" s="47">
        <v>49.2</v>
      </c>
      <c r="U4" s="111"/>
      <c r="V4" s="47">
        <v>66.099999999999994</v>
      </c>
      <c r="W4" s="47">
        <v>0</v>
      </c>
      <c r="X4" s="147"/>
      <c r="Y4" s="78" t="s">
        <v>313</v>
      </c>
      <c r="Z4" s="47"/>
      <c r="AA4" s="47"/>
      <c r="AB4" s="47">
        <v>22.5</v>
      </c>
      <c r="AC4" s="47"/>
      <c r="AD4" s="46"/>
      <c r="AE4" s="91" t="str">
        <f>IF(C4&lt;&gt;"",HYPERLINK(CONCATENATE(SheetName02,"\",Tools[[#This Row],[Manufacturer]],IF(Tools[[#This Row],[Model]]&lt;&gt;""," "&amp;Tools[[#This Row],[Model]],),".jpg"),CONCATENATE(Tools[[#This Row],[Manufacturer]],IF(Tools[[#This Row],[Model]]&lt;&gt;""," "&amp;Tools[[#This Row],[Model]],),".jpg")),"")</f>
        <v>Jernbolaget Eskilstuna Chisel 25.jpg</v>
      </c>
      <c r="AG4" s="5" t="str">
        <f>IF(B4="","",(CONCATENATE(TEXT(B4,"000")," ",C4," ",D4)))</f>
        <v>001 Jernbolaget Eskilstuna Chisel 25</v>
      </c>
    </row>
    <row r="5" spans="2:33" x14ac:dyDescent="0.25">
      <c r="B5" s="80">
        <f t="shared" si="0"/>
        <v>2</v>
      </c>
      <c r="C5" s="154" t="s">
        <v>312</v>
      </c>
      <c r="D5" s="154">
        <v>14</v>
      </c>
      <c r="E5" s="78" t="s">
        <v>14</v>
      </c>
      <c r="F5" s="49">
        <v>197</v>
      </c>
      <c r="G5" s="49">
        <v>71</v>
      </c>
      <c r="H5" s="49">
        <v>46</v>
      </c>
      <c r="I5" s="49">
        <v>13.3</v>
      </c>
      <c r="J5" s="49">
        <v>5.6</v>
      </c>
      <c r="K5" s="50" t="s">
        <v>86</v>
      </c>
      <c r="L5" s="49"/>
      <c r="M5" s="49"/>
      <c r="N5" s="49">
        <v>3.7</v>
      </c>
      <c r="O5" s="49"/>
      <c r="P5" s="79"/>
      <c r="Q5" s="50"/>
      <c r="R5" s="79" t="s">
        <v>90</v>
      </c>
      <c r="S5" s="49">
        <v>29</v>
      </c>
      <c r="T5" s="49"/>
      <c r="U5" s="112" t="s">
        <v>241</v>
      </c>
      <c r="V5" s="49">
        <v>29</v>
      </c>
      <c r="W5" s="49">
        <v>0</v>
      </c>
      <c r="X5" s="148" t="s">
        <v>292</v>
      </c>
      <c r="Y5" s="78" t="s">
        <v>135</v>
      </c>
      <c r="Z5" s="49"/>
      <c r="AA5" s="49"/>
      <c r="AB5" s="49"/>
      <c r="AC5" s="49"/>
      <c r="AD5" s="48" t="s">
        <v>307</v>
      </c>
      <c r="AE5" s="91" t="str">
        <f>IF(C5&lt;&gt;"",HYPERLINK(CONCATENATE(SheetName02,"\",Tools[[#This Row],[Manufacturer]],IF(Tools[[#This Row],[Model]]&lt;&gt;""," "&amp;Tools[[#This Row],[Model]],),".jpg"),CONCATENATE(Tools[[#This Row],[Manufacturer]],IF(Tools[[#This Row],[Model]]&lt;&gt;""," "&amp;Tools[[#This Row],[Model]],),".jpg")),"")</f>
        <v>Round Nose Scraper 14.jpg</v>
      </c>
      <c r="AG5" s="5" t="str">
        <f>IF(B5="","",(CONCATENATE(TEXT(B5,"000")," ",C5," ",D5)))</f>
        <v>002 Round Nose Scraper 14</v>
      </c>
    </row>
    <row r="6" spans="2:33" x14ac:dyDescent="0.25">
      <c r="B6" s="80" t="str">
        <f t="shared" ref="B6:B67" si="1">IF(C6&lt;&gt;"",ROW(A3),"")</f>
        <v/>
      </c>
      <c r="C6" s="154"/>
      <c r="D6" s="154"/>
      <c r="E6" s="78"/>
      <c r="F6" s="49"/>
      <c r="G6" s="49"/>
      <c r="H6" s="49"/>
      <c r="I6" s="49"/>
      <c r="J6" s="49"/>
      <c r="K6" s="50"/>
      <c r="L6" s="49"/>
      <c r="M6" s="49"/>
      <c r="N6" s="49"/>
      <c r="O6" s="49"/>
      <c r="P6" s="79"/>
      <c r="Q6" s="50"/>
      <c r="R6" s="79"/>
      <c r="S6" s="49"/>
      <c r="T6" s="49"/>
      <c r="U6" s="112"/>
      <c r="V6" s="49"/>
      <c r="W6" s="49"/>
      <c r="X6" s="148"/>
      <c r="Y6" s="78"/>
      <c r="Z6" s="49"/>
      <c r="AA6" s="49"/>
      <c r="AB6" s="49"/>
      <c r="AC6" s="49"/>
      <c r="AD6" s="48"/>
      <c r="AE6" s="91" t="str">
        <f>IF(C6&lt;&gt;"",HYPERLINK(CONCATENATE(SheetName02,"\",Tools[[#This Row],[Manufacturer]],IF(Tools[[#This Row],[Model]]&lt;&gt;""," "&amp;Tools[[#This Row],[Model]],),".jpg"),CONCATENATE(Tools[[#This Row],[Manufacturer]],IF(Tools[[#This Row],[Model]]&lt;&gt;""," "&amp;Tools[[#This Row],[Model]],),".jpg")),"")</f>
        <v/>
      </c>
      <c r="AG6" s="5" t="str">
        <f>IF(B6="","",(CONCATENATE(TEXT(B6,"000")," ",C6," ",D6)))</f>
        <v/>
      </c>
    </row>
    <row r="7" spans="2:33" x14ac:dyDescent="0.25">
      <c r="B7" s="80" t="str">
        <f t="shared" si="1"/>
        <v/>
      </c>
      <c r="C7" s="153"/>
      <c r="D7" s="153"/>
      <c r="E7" s="78"/>
      <c r="F7" s="47"/>
      <c r="G7" s="47"/>
      <c r="H7" s="47"/>
      <c r="I7" s="47"/>
      <c r="J7" s="47"/>
      <c r="K7" s="44"/>
      <c r="L7" s="47"/>
      <c r="M7" s="47"/>
      <c r="N7" s="47"/>
      <c r="O7" s="47"/>
      <c r="P7" s="78"/>
      <c r="Q7" s="44"/>
      <c r="R7" s="78"/>
      <c r="S7" s="47"/>
      <c r="T7" s="47"/>
      <c r="U7" s="111"/>
      <c r="V7" s="47"/>
      <c r="W7" s="47"/>
      <c r="X7" s="147"/>
      <c r="Y7" s="78"/>
      <c r="Z7" s="47"/>
      <c r="AA7" s="47"/>
      <c r="AB7" s="47"/>
      <c r="AC7" s="47"/>
      <c r="AD7" s="46"/>
      <c r="AE7" s="91" t="str">
        <f>IF(C7&lt;&gt;"",HYPERLINK(CONCATENATE(SheetName02,"\",Tools[[#This Row],[Manufacturer]],IF(Tools[[#This Row],[Model]]&lt;&gt;""," "&amp;Tools[[#This Row],[Model]],),".jpg"),CONCATENATE(Tools[[#This Row],[Manufacturer]],IF(Tools[[#This Row],[Model]]&lt;&gt;""," "&amp;Tools[[#This Row],[Model]],),".jpg")),"")</f>
        <v/>
      </c>
      <c r="AG7" s="5" t="str">
        <f t="shared" ref="AG7:AG70" si="2">IF(B7="","",(CONCATENATE(TEXT(B7,"000")," ",C7," ",D7)))</f>
        <v/>
      </c>
    </row>
    <row r="8" spans="2:33" x14ac:dyDescent="0.25">
      <c r="B8" s="80" t="str">
        <f t="shared" si="1"/>
        <v/>
      </c>
      <c r="C8" s="153"/>
      <c r="D8" s="153"/>
      <c r="E8" s="78"/>
      <c r="F8" s="47"/>
      <c r="G8" s="47"/>
      <c r="H8" s="47"/>
      <c r="I8" s="47"/>
      <c r="J8" s="47"/>
      <c r="K8" s="44"/>
      <c r="L8" s="47"/>
      <c r="M8" s="47"/>
      <c r="N8" s="47"/>
      <c r="O8" s="47"/>
      <c r="P8" s="78"/>
      <c r="Q8" s="44"/>
      <c r="R8" s="78"/>
      <c r="S8" s="47"/>
      <c r="T8" s="47"/>
      <c r="U8" s="111"/>
      <c r="V8" s="47"/>
      <c r="W8" s="47"/>
      <c r="X8" s="147"/>
      <c r="Y8" s="79"/>
      <c r="Z8" s="47"/>
      <c r="AA8" s="47"/>
      <c r="AB8" s="47"/>
      <c r="AC8" s="47"/>
      <c r="AD8" s="46"/>
      <c r="AE8" s="91" t="str">
        <f>IF(C8&lt;&gt;"",HYPERLINK(CONCATENATE(SheetName02,"\",Tools[[#This Row],[Manufacturer]],IF(Tools[[#This Row],[Model]]&lt;&gt;""," "&amp;Tools[[#This Row],[Model]],),".jpg"),CONCATENATE(Tools[[#This Row],[Manufacturer]],IF(Tools[[#This Row],[Model]]&lt;&gt;""," "&amp;Tools[[#This Row],[Model]],),".jpg")),"")</f>
        <v/>
      </c>
      <c r="AG8" s="5" t="str">
        <f t="shared" si="2"/>
        <v/>
      </c>
    </row>
    <row r="9" spans="2:33" x14ac:dyDescent="0.25">
      <c r="B9" s="80" t="str">
        <f t="shared" si="1"/>
        <v/>
      </c>
      <c r="C9" s="155"/>
      <c r="D9" s="155"/>
      <c r="E9" s="78"/>
      <c r="F9" s="47"/>
      <c r="G9" s="47"/>
      <c r="H9" s="47"/>
      <c r="I9" s="47"/>
      <c r="J9" s="47"/>
      <c r="K9" s="44"/>
      <c r="L9" s="47"/>
      <c r="M9" s="47"/>
      <c r="N9" s="47"/>
      <c r="O9" s="47"/>
      <c r="P9" s="78"/>
      <c r="Q9" s="44"/>
      <c r="R9" s="78"/>
      <c r="S9" s="47"/>
      <c r="T9" s="47"/>
      <c r="U9" s="111"/>
      <c r="V9" s="47"/>
      <c r="W9" s="47"/>
      <c r="X9" s="147"/>
      <c r="Y9" s="79"/>
      <c r="Z9" s="47"/>
      <c r="AA9" s="47"/>
      <c r="AB9" s="47"/>
      <c r="AC9" s="47"/>
      <c r="AD9" s="46"/>
      <c r="AE9" s="91" t="str">
        <f>IF(C9&lt;&gt;"",HYPERLINK(CONCATENATE(SheetName02,"\",Tools[[#This Row],[Manufacturer]],IF(Tools[[#This Row],[Model]]&lt;&gt;""," "&amp;Tools[[#This Row],[Model]],),".jpg"),CONCATENATE(Tools[[#This Row],[Manufacturer]],IF(Tools[[#This Row],[Model]]&lt;&gt;""," "&amp;Tools[[#This Row],[Model]],),".jpg")),"")</f>
        <v/>
      </c>
      <c r="AG9" s="5" t="str">
        <f t="shared" si="2"/>
        <v/>
      </c>
    </row>
    <row r="10" spans="2:33" x14ac:dyDescent="0.25">
      <c r="B10" s="80" t="str">
        <f t="shared" si="1"/>
        <v/>
      </c>
      <c r="C10" s="153"/>
      <c r="D10" s="153"/>
      <c r="E10" s="78"/>
      <c r="F10" s="47"/>
      <c r="G10" s="47"/>
      <c r="H10" s="47"/>
      <c r="I10" s="47"/>
      <c r="J10" s="47"/>
      <c r="K10" s="44"/>
      <c r="L10" s="47"/>
      <c r="M10" s="47"/>
      <c r="N10" s="47"/>
      <c r="O10" s="47"/>
      <c r="P10" s="78"/>
      <c r="Q10" s="44"/>
      <c r="R10" s="78"/>
      <c r="S10" s="47"/>
      <c r="T10" s="47"/>
      <c r="U10" s="111"/>
      <c r="V10" s="47"/>
      <c r="W10" s="47"/>
      <c r="X10" s="147"/>
      <c r="Y10" s="79"/>
      <c r="Z10" s="47"/>
      <c r="AA10" s="47"/>
      <c r="AB10" s="47"/>
      <c r="AC10" s="47"/>
      <c r="AD10" s="46"/>
      <c r="AE10" s="91" t="str">
        <f>IF(C10&lt;&gt;"",HYPERLINK(CONCATENATE(SheetName02,"\",Tools[[#This Row],[Manufacturer]],IF(Tools[[#This Row],[Model]]&lt;&gt;""," "&amp;Tools[[#This Row],[Model]],),".jpg"),CONCATENATE(Tools[[#This Row],[Manufacturer]],IF(Tools[[#This Row],[Model]]&lt;&gt;""," "&amp;Tools[[#This Row],[Model]],),".jpg")),"")</f>
        <v/>
      </c>
      <c r="AG10" s="5" t="str">
        <f t="shared" si="2"/>
        <v/>
      </c>
    </row>
    <row r="11" spans="2:33" x14ac:dyDescent="0.25">
      <c r="B11" s="80" t="str">
        <f t="shared" si="1"/>
        <v/>
      </c>
      <c r="C11" s="153"/>
      <c r="D11" s="153"/>
      <c r="E11" s="78"/>
      <c r="F11" s="47"/>
      <c r="G11" s="47"/>
      <c r="H11" s="47"/>
      <c r="I11" s="47"/>
      <c r="J11" s="47"/>
      <c r="K11" s="44"/>
      <c r="L11" s="47"/>
      <c r="M11" s="47"/>
      <c r="N11" s="47"/>
      <c r="O11" s="47"/>
      <c r="P11" s="78"/>
      <c r="Q11" s="44"/>
      <c r="R11" s="78"/>
      <c r="S11" s="47"/>
      <c r="T11" s="47"/>
      <c r="U11" s="111"/>
      <c r="V11" s="47"/>
      <c r="W11" s="47"/>
      <c r="X11" s="147"/>
      <c r="Y11" s="79"/>
      <c r="Z11" s="47"/>
      <c r="AA11" s="47"/>
      <c r="AB11" s="47"/>
      <c r="AC11" s="47"/>
      <c r="AD11" s="46"/>
      <c r="AE11" s="91" t="str">
        <f>IF(C11&lt;&gt;"",HYPERLINK(CONCATENATE(SheetName02,"\",Tools[[#This Row],[Manufacturer]],IF(Tools[[#This Row],[Model]]&lt;&gt;""," "&amp;Tools[[#This Row],[Model]],),".jpg"),CONCATENATE(Tools[[#This Row],[Manufacturer]],IF(Tools[[#This Row],[Model]]&lt;&gt;""," "&amp;Tools[[#This Row],[Model]],),".jpg")),"")</f>
        <v/>
      </c>
      <c r="AG11" s="5" t="str">
        <f t="shared" si="2"/>
        <v/>
      </c>
    </row>
    <row r="12" spans="2:33" x14ac:dyDescent="0.25">
      <c r="B12" s="80" t="str">
        <f t="shared" si="1"/>
        <v/>
      </c>
      <c r="C12" s="153"/>
      <c r="D12" s="153"/>
      <c r="E12" s="78"/>
      <c r="F12" s="47"/>
      <c r="G12" s="47"/>
      <c r="H12" s="47"/>
      <c r="I12" s="47"/>
      <c r="J12" s="47"/>
      <c r="K12" s="44"/>
      <c r="L12" s="47"/>
      <c r="M12" s="47"/>
      <c r="N12" s="47"/>
      <c r="O12" s="47"/>
      <c r="P12" s="78"/>
      <c r="Q12" s="44"/>
      <c r="R12" s="78"/>
      <c r="S12" s="47"/>
      <c r="T12" s="47"/>
      <c r="U12" s="111"/>
      <c r="V12" s="47"/>
      <c r="W12" s="47"/>
      <c r="X12" s="147"/>
      <c r="Y12" s="79"/>
      <c r="Z12" s="47"/>
      <c r="AA12" s="47"/>
      <c r="AB12" s="47"/>
      <c r="AC12" s="47"/>
      <c r="AD12" s="46"/>
      <c r="AE12" s="90" t="str">
        <f>IF(C12&lt;&gt;"",HYPERLINK(CONCATENATE(SheetName02,"\",Tools[[#This Row],[Manufacturer]],IF(Tools[[#This Row],[Model]]&lt;&gt;""," "&amp;Tools[[#This Row],[Model]],),".jpg"),CONCATENATE(Tools[[#This Row],[Manufacturer]],IF(Tools[[#This Row],[Model]]&lt;&gt;""," "&amp;Tools[[#This Row],[Model]],),".jpg")),"")</f>
        <v/>
      </c>
      <c r="AG12" s="5" t="str">
        <f t="shared" si="2"/>
        <v/>
      </c>
    </row>
    <row r="13" spans="2:33" x14ac:dyDescent="0.25">
      <c r="B13" s="80" t="str">
        <f t="shared" si="1"/>
        <v/>
      </c>
      <c r="C13" s="153"/>
      <c r="D13" s="153"/>
      <c r="E13" s="78"/>
      <c r="F13" s="47"/>
      <c r="G13" s="47"/>
      <c r="H13" s="47"/>
      <c r="I13" s="47"/>
      <c r="J13" s="47"/>
      <c r="K13" s="44"/>
      <c r="L13" s="47"/>
      <c r="M13" s="47"/>
      <c r="N13" s="47"/>
      <c r="O13" s="47"/>
      <c r="P13" s="78"/>
      <c r="Q13" s="44"/>
      <c r="R13" s="78"/>
      <c r="S13" s="47"/>
      <c r="T13" s="47"/>
      <c r="U13" s="111"/>
      <c r="V13" s="47"/>
      <c r="W13" s="47"/>
      <c r="X13" s="147"/>
      <c r="Y13" s="78"/>
      <c r="Z13" s="47"/>
      <c r="AA13" s="47"/>
      <c r="AB13" s="47"/>
      <c r="AC13" s="47"/>
      <c r="AD13" s="46"/>
      <c r="AE13" s="90" t="str">
        <f>IF(C13&lt;&gt;"",HYPERLINK(CONCATENATE(SheetName02,"\",Tools[[#This Row],[Manufacturer]],IF(Tools[[#This Row],[Model]]&lt;&gt;""," "&amp;Tools[[#This Row],[Model]],),".jpg"),CONCATENATE(Tools[[#This Row],[Manufacturer]],IF(Tools[[#This Row],[Model]]&lt;&gt;""," "&amp;Tools[[#This Row],[Model]],),".jpg")),"")</f>
        <v/>
      </c>
      <c r="AG13" s="5" t="str">
        <f t="shared" si="2"/>
        <v/>
      </c>
    </row>
    <row r="14" spans="2:33" x14ac:dyDescent="0.25">
      <c r="B14" s="80" t="str">
        <f t="shared" si="1"/>
        <v/>
      </c>
      <c r="C14" s="153"/>
      <c r="D14" s="153"/>
      <c r="E14" s="78"/>
      <c r="F14" s="47"/>
      <c r="G14" s="47"/>
      <c r="H14" s="47"/>
      <c r="I14" s="47"/>
      <c r="J14" s="47"/>
      <c r="K14" s="44"/>
      <c r="L14" s="47"/>
      <c r="M14" s="47"/>
      <c r="N14" s="47"/>
      <c r="O14" s="47"/>
      <c r="P14" s="78"/>
      <c r="Q14" s="44"/>
      <c r="R14" s="78"/>
      <c r="S14" s="47"/>
      <c r="T14" s="47"/>
      <c r="U14" s="111"/>
      <c r="V14" s="47"/>
      <c r="W14" s="47"/>
      <c r="X14" s="147"/>
      <c r="Y14" s="78"/>
      <c r="Z14" s="47"/>
      <c r="AA14" s="47"/>
      <c r="AB14" s="47"/>
      <c r="AC14" s="47"/>
      <c r="AD14" s="46"/>
      <c r="AE14" s="90" t="str">
        <f>IF(C14&lt;&gt;"",HYPERLINK(CONCATENATE(SheetName02,"\",Tools[[#This Row],[Manufacturer]],IF(Tools[[#This Row],[Model]]&lt;&gt;""," "&amp;Tools[[#This Row],[Model]],),".jpg"),CONCATENATE(Tools[[#This Row],[Manufacturer]],IF(Tools[[#This Row],[Model]]&lt;&gt;""," "&amp;Tools[[#This Row],[Model]],),".jpg")),"")</f>
        <v/>
      </c>
      <c r="AG14" s="5" t="str">
        <f t="shared" si="2"/>
        <v/>
      </c>
    </row>
    <row r="15" spans="2:33" x14ac:dyDescent="0.25">
      <c r="B15" s="80" t="str">
        <f t="shared" si="1"/>
        <v/>
      </c>
      <c r="C15" s="153"/>
      <c r="D15" s="153"/>
      <c r="E15" s="78"/>
      <c r="F15" s="47"/>
      <c r="G15" s="47"/>
      <c r="H15" s="47"/>
      <c r="I15" s="47"/>
      <c r="J15" s="47"/>
      <c r="K15" s="44"/>
      <c r="L15" s="47"/>
      <c r="M15" s="47"/>
      <c r="N15" s="47"/>
      <c r="O15" s="47"/>
      <c r="P15" s="78"/>
      <c r="Q15" s="44"/>
      <c r="R15" s="78"/>
      <c r="S15" s="47"/>
      <c r="T15" s="47"/>
      <c r="U15" s="111"/>
      <c r="V15" s="47"/>
      <c r="W15" s="47"/>
      <c r="X15" s="147"/>
      <c r="Y15" s="78"/>
      <c r="Z15" s="47"/>
      <c r="AA15" s="47"/>
      <c r="AB15" s="47"/>
      <c r="AC15" s="47"/>
      <c r="AD15" s="46"/>
      <c r="AE15" s="90" t="str">
        <f>IF(C15&lt;&gt;"",HYPERLINK(CONCATENATE(SheetName02,"\",Tools[[#This Row],[Manufacturer]],IF(Tools[[#This Row],[Model]]&lt;&gt;""," "&amp;Tools[[#This Row],[Model]],),".jpg"),CONCATENATE(Tools[[#This Row],[Manufacturer]],IF(Tools[[#This Row],[Model]]&lt;&gt;""," "&amp;Tools[[#This Row],[Model]],),".jpg")),"")</f>
        <v/>
      </c>
      <c r="AG15" s="5" t="str">
        <f t="shared" si="2"/>
        <v/>
      </c>
    </row>
    <row r="16" spans="2:33" x14ac:dyDescent="0.25">
      <c r="B16" s="80" t="str">
        <f t="shared" si="1"/>
        <v/>
      </c>
      <c r="C16" s="153"/>
      <c r="D16" s="153"/>
      <c r="E16" s="78"/>
      <c r="F16" s="47"/>
      <c r="G16" s="47"/>
      <c r="H16" s="47"/>
      <c r="I16" s="47"/>
      <c r="J16" s="47"/>
      <c r="K16" s="44"/>
      <c r="L16" s="47"/>
      <c r="M16" s="47"/>
      <c r="N16" s="47"/>
      <c r="O16" s="47"/>
      <c r="P16" s="78"/>
      <c r="Q16" s="44"/>
      <c r="R16" s="78"/>
      <c r="S16" s="47"/>
      <c r="T16" s="47"/>
      <c r="U16" s="111"/>
      <c r="V16" s="47"/>
      <c r="W16" s="47"/>
      <c r="X16" s="147"/>
      <c r="Y16" s="78"/>
      <c r="Z16" s="47"/>
      <c r="AA16" s="47"/>
      <c r="AB16" s="47"/>
      <c r="AC16" s="47"/>
      <c r="AD16" s="46"/>
      <c r="AE16" s="90" t="str">
        <f>IF(C16&lt;&gt;"",HYPERLINK(CONCATENATE(SheetName02,"\",Tools[[#This Row],[Manufacturer]],IF(Tools[[#This Row],[Model]]&lt;&gt;""," "&amp;Tools[[#This Row],[Model]],),".jpg"),CONCATENATE(Tools[[#This Row],[Manufacturer]],IF(Tools[[#This Row],[Model]]&lt;&gt;""," "&amp;Tools[[#This Row],[Model]],),".jpg")),"")</f>
        <v/>
      </c>
      <c r="AG16" s="5" t="str">
        <f t="shared" si="2"/>
        <v/>
      </c>
    </row>
    <row r="17" spans="2:33" x14ac:dyDescent="0.25">
      <c r="B17" s="80" t="str">
        <f t="shared" si="1"/>
        <v/>
      </c>
      <c r="C17" s="153"/>
      <c r="D17" s="153"/>
      <c r="E17" s="78"/>
      <c r="F17" s="47"/>
      <c r="G17" s="47"/>
      <c r="H17" s="47"/>
      <c r="I17" s="47"/>
      <c r="J17" s="47"/>
      <c r="K17" s="44"/>
      <c r="L17" s="47"/>
      <c r="M17" s="47"/>
      <c r="N17" s="47"/>
      <c r="O17" s="47"/>
      <c r="P17" s="78"/>
      <c r="Q17" s="44"/>
      <c r="R17" s="78"/>
      <c r="S17" s="47"/>
      <c r="T17" s="47"/>
      <c r="U17" s="111"/>
      <c r="V17" s="47"/>
      <c r="W17" s="47"/>
      <c r="X17" s="147"/>
      <c r="Y17" s="78"/>
      <c r="Z17" s="47"/>
      <c r="AA17" s="47"/>
      <c r="AB17" s="47"/>
      <c r="AC17" s="47"/>
      <c r="AD17" s="46"/>
      <c r="AE17" s="90" t="str">
        <f>IF(C17&lt;&gt;"",HYPERLINK(CONCATENATE(SheetName02,"\",Tools[[#This Row],[Manufacturer]],IF(Tools[[#This Row],[Model]]&lt;&gt;""," "&amp;Tools[[#This Row],[Model]],),".jpg"),CONCATENATE(Tools[[#This Row],[Manufacturer]],IF(Tools[[#This Row],[Model]]&lt;&gt;""," "&amp;Tools[[#This Row],[Model]],),".jpg")),"")</f>
        <v/>
      </c>
      <c r="AG17" s="5" t="str">
        <f t="shared" si="2"/>
        <v/>
      </c>
    </row>
    <row r="18" spans="2:33" x14ac:dyDescent="0.25">
      <c r="B18" s="80" t="str">
        <f t="shared" si="1"/>
        <v/>
      </c>
      <c r="C18" s="153"/>
      <c r="D18" s="153"/>
      <c r="E18" s="78"/>
      <c r="F18" s="47"/>
      <c r="G18" s="47"/>
      <c r="H18" s="47"/>
      <c r="I18" s="47"/>
      <c r="J18" s="47"/>
      <c r="K18" s="44"/>
      <c r="L18" s="47"/>
      <c r="M18" s="47"/>
      <c r="N18" s="47"/>
      <c r="O18" s="47"/>
      <c r="P18" s="78"/>
      <c r="Q18" s="44"/>
      <c r="R18" s="78"/>
      <c r="S18" s="47"/>
      <c r="T18" s="47"/>
      <c r="U18" s="111"/>
      <c r="V18" s="47"/>
      <c r="W18" s="47"/>
      <c r="X18" s="147"/>
      <c r="Y18" s="78"/>
      <c r="Z18" s="47"/>
      <c r="AA18" s="47"/>
      <c r="AB18" s="47"/>
      <c r="AC18" s="47"/>
      <c r="AD18" s="46"/>
      <c r="AE18" s="90" t="str">
        <f>IF(C18&lt;&gt;"",HYPERLINK(CONCATENATE(SheetName02,"\",Tools[[#This Row],[Manufacturer]],IF(Tools[[#This Row],[Model]]&lt;&gt;""," "&amp;Tools[[#This Row],[Model]],),".jpg"),CONCATENATE(Tools[[#This Row],[Manufacturer]],IF(Tools[[#This Row],[Model]]&lt;&gt;""," "&amp;Tools[[#This Row],[Model]],),".jpg")),"")</f>
        <v/>
      </c>
      <c r="AG18" s="5" t="str">
        <f t="shared" si="2"/>
        <v/>
      </c>
    </row>
    <row r="19" spans="2:33" x14ac:dyDescent="0.25">
      <c r="B19" s="80" t="str">
        <f t="shared" si="1"/>
        <v/>
      </c>
      <c r="C19" s="153"/>
      <c r="D19" s="153"/>
      <c r="E19" s="78"/>
      <c r="F19" s="47"/>
      <c r="G19" s="47"/>
      <c r="H19" s="47"/>
      <c r="I19" s="47"/>
      <c r="J19" s="47"/>
      <c r="K19" s="44"/>
      <c r="L19" s="47"/>
      <c r="M19" s="47"/>
      <c r="N19" s="47"/>
      <c r="O19" s="47"/>
      <c r="P19" s="78"/>
      <c r="Q19" s="44"/>
      <c r="R19" s="78"/>
      <c r="S19" s="47"/>
      <c r="T19" s="47"/>
      <c r="U19" s="111"/>
      <c r="V19" s="47"/>
      <c r="W19" s="47"/>
      <c r="X19" s="147"/>
      <c r="Y19" s="78"/>
      <c r="Z19" s="47"/>
      <c r="AA19" s="47"/>
      <c r="AB19" s="47"/>
      <c r="AC19" s="47"/>
      <c r="AD19" s="46"/>
      <c r="AE19" s="90" t="str">
        <f>IF(C19&lt;&gt;"",HYPERLINK(CONCATENATE(SheetName02,"\",Tools[[#This Row],[Manufacturer]],IF(Tools[[#This Row],[Model]]&lt;&gt;""," "&amp;Tools[[#This Row],[Model]],),".jpg"),CONCATENATE(Tools[[#This Row],[Manufacturer]],IF(Tools[[#This Row],[Model]]&lt;&gt;""," "&amp;Tools[[#This Row],[Model]],),".jpg")),"")</f>
        <v/>
      </c>
      <c r="AG19" s="5" t="str">
        <f t="shared" si="2"/>
        <v/>
      </c>
    </row>
    <row r="20" spans="2:33" x14ac:dyDescent="0.25">
      <c r="B20" s="80" t="str">
        <f t="shared" si="1"/>
        <v/>
      </c>
      <c r="C20" s="153"/>
      <c r="D20" s="153"/>
      <c r="E20" s="78"/>
      <c r="F20" s="47"/>
      <c r="G20" s="47"/>
      <c r="H20" s="47"/>
      <c r="I20" s="47"/>
      <c r="J20" s="47"/>
      <c r="K20" s="44"/>
      <c r="L20" s="47"/>
      <c r="M20" s="47"/>
      <c r="N20" s="47"/>
      <c r="O20" s="47"/>
      <c r="P20" s="78"/>
      <c r="Q20" s="44"/>
      <c r="R20" s="78"/>
      <c r="S20" s="47"/>
      <c r="T20" s="47"/>
      <c r="U20" s="111"/>
      <c r="V20" s="47"/>
      <c r="W20" s="47"/>
      <c r="X20" s="147"/>
      <c r="Y20" s="78"/>
      <c r="Z20" s="47"/>
      <c r="AA20" s="47"/>
      <c r="AB20" s="47"/>
      <c r="AC20" s="47"/>
      <c r="AD20" s="46"/>
      <c r="AE20" s="90" t="str">
        <f>IF(C20&lt;&gt;"",HYPERLINK(CONCATENATE(SheetName02,"\",Tools[[#This Row],[Manufacturer]],IF(Tools[[#This Row],[Model]]&lt;&gt;""," "&amp;Tools[[#This Row],[Model]],),".jpg"),CONCATENATE(Tools[[#This Row],[Manufacturer]],IF(Tools[[#This Row],[Model]]&lt;&gt;""," "&amp;Tools[[#This Row],[Model]],),".jpg")),"")</f>
        <v/>
      </c>
      <c r="AG20" s="5" t="str">
        <f t="shared" si="2"/>
        <v/>
      </c>
    </row>
    <row r="21" spans="2:33" x14ac:dyDescent="0.25">
      <c r="B21" s="80" t="str">
        <f t="shared" si="1"/>
        <v/>
      </c>
      <c r="C21" s="153"/>
      <c r="D21" s="153"/>
      <c r="E21" s="78"/>
      <c r="F21" s="47"/>
      <c r="G21" s="47"/>
      <c r="H21" s="47"/>
      <c r="I21" s="47"/>
      <c r="J21" s="47"/>
      <c r="K21" s="44"/>
      <c r="L21" s="47"/>
      <c r="M21" s="47"/>
      <c r="N21" s="47"/>
      <c r="O21" s="47"/>
      <c r="P21" s="78"/>
      <c r="Q21" s="46"/>
      <c r="R21" s="78"/>
      <c r="S21" s="47"/>
      <c r="T21" s="47"/>
      <c r="U21" s="111"/>
      <c r="V21" s="47"/>
      <c r="W21" s="47"/>
      <c r="X21" s="147"/>
      <c r="Y21" s="78"/>
      <c r="Z21" s="47"/>
      <c r="AA21" s="47"/>
      <c r="AB21" s="47"/>
      <c r="AC21" s="47"/>
      <c r="AD21" s="46"/>
      <c r="AE21" s="90" t="str">
        <f>IF(C21&lt;&gt;"",HYPERLINK(CONCATENATE(SheetName02,"\",Tools[[#This Row],[Manufacturer]],IF(Tools[[#This Row],[Model]]&lt;&gt;""," "&amp;Tools[[#This Row],[Model]],),".jpg"),CONCATENATE(Tools[[#This Row],[Manufacturer]],IF(Tools[[#This Row],[Model]]&lt;&gt;""," "&amp;Tools[[#This Row],[Model]],),".jpg")),"")</f>
        <v/>
      </c>
      <c r="AG21" s="5" t="str">
        <f t="shared" si="2"/>
        <v/>
      </c>
    </row>
    <row r="22" spans="2:33" x14ac:dyDescent="0.25">
      <c r="B22" s="80" t="str">
        <f t="shared" si="1"/>
        <v/>
      </c>
      <c r="C22" s="153"/>
      <c r="D22" s="153"/>
      <c r="E22" s="78"/>
      <c r="F22" s="47"/>
      <c r="G22" s="47"/>
      <c r="H22" s="47"/>
      <c r="I22" s="47"/>
      <c r="J22" s="47"/>
      <c r="K22" s="44"/>
      <c r="L22" s="47"/>
      <c r="M22" s="47"/>
      <c r="N22" s="47"/>
      <c r="O22" s="47"/>
      <c r="P22" s="78"/>
      <c r="Q22" s="46"/>
      <c r="R22" s="78"/>
      <c r="S22" s="47"/>
      <c r="T22" s="47"/>
      <c r="U22" s="111"/>
      <c r="V22" s="47"/>
      <c r="W22" s="47"/>
      <c r="X22" s="147"/>
      <c r="Y22" s="78"/>
      <c r="Z22" s="47"/>
      <c r="AA22" s="47"/>
      <c r="AB22" s="47"/>
      <c r="AC22" s="47"/>
      <c r="AD22" s="46"/>
      <c r="AE22" s="90" t="str">
        <f>IF(C22&lt;&gt;"",HYPERLINK(CONCATENATE(SheetName02,"\",Tools[[#This Row],[Manufacturer]],IF(Tools[[#This Row],[Model]]&lt;&gt;""," "&amp;Tools[[#This Row],[Model]],),".jpg"),CONCATENATE(Tools[[#This Row],[Manufacturer]],IF(Tools[[#This Row],[Model]]&lt;&gt;""," "&amp;Tools[[#This Row],[Model]],),".jpg")),"")</f>
        <v/>
      </c>
      <c r="AG22" s="5" t="str">
        <f t="shared" si="2"/>
        <v/>
      </c>
    </row>
    <row r="23" spans="2:33" x14ac:dyDescent="0.25">
      <c r="B23" s="80" t="str">
        <f t="shared" si="1"/>
        <v/>
      </c>
      <c r="C23" s="153"/>
      <c r="D23" s="153"/>
      <c r="E23" s="78"/>
      <c r="F23" s="47"/>
      <c r="G23" s="47"/>
      <c r="H23" s="47"/>
      <c r="I23" s="47"/>
      <c r="J23" s="47"/>
      <c r="K23" s="44"/>
      <c r="L23" s="47"/>
      <c r="M23" s="47"/>
      <c r="N23" s="47"/>
      <c r="O23" s="47"/>
      <c r="P23" s="78"/>
      <c r="Q23" s="46"/>
      <c r="R23" s="78"/>
      <c r="S23" s="47"/>
      <c r="T23" s="47"/>
      <c r="U23" s="111"/>
      <c r="V23" s="47"/>
      <c r="W23" s="47"/>
      <c r="X23" s="147"/>
      <c r="Y23" s="147"/>
      <c r="Z23" s="47"/>
      <c r="AA23" s="47"/>
      <c r="AB23" s="47"/>
      <c r="AC23" s="47"/>
      <c r="AD23" s="46"/>
      <c r="AE23" s="90" t="str">
        <f>IF(C23&lt;&gt;"",HYPERLINK(CONCATENATE(SheetName02,"\",Tools[[#This Row],[Manufacturer]],IF(Tools[[#This Row],[Model]]&lt;&gt;""," "&amp;Tools[[#This Row],[Model]],),".jpg"),CONCATENATE(Tools[[#This Row],[Manufacturer]],IF(Tools[[#This Row],[Model]]&lt;&gt;""," "&amp;Tools[[#This Row],[Model]],),".jpg")),"")</f>
        <v/>
      </c>
      <c r="AG23" s="5" t="str">
        <f t="shared" si="2"/>
        <v/>
      </c>
    </row>
    <row r="24" spans="2:33" x14ac:dyDescent="0.25">
      <c r="B24" s="80" t="str">
        <f t="shared" si="1"/>
        <v/>
      </c>
      <c r="C24" s="153"/>
      <c r="D24" s="153"/>
      <c r="E24" s="78"/>
      <c r="F24" s="47"/>
      <c r="G24" s="47"/>
      <c r="H24" s="47"/>
      <c r="I24" s="47"/>
      <c r="J24" s="47"/>
      <c r="K24" s="44"/>
      <c r="L24" s="47"/>
      <c r="M24" s="47"/>
      <c r="N24" s="47"/>
      <c r="O24" s="47"/>
      <c r="P24" s="78"/>
      <c r="Q24" s="46"/>
      <c r="R24" s="78"/>
      <c r="S24" s="47"/>
      <c r="T24" s="47"/>
      <c r="U24" s="111"/>
      <c r="V24" s="47"/>
      <c r="W24" s="47"/>
      <c r="X24" s="147"/>
      <c r="Y24" s="78"/>
      <c r="Z24" s="47"/>
      <c r="AA24" s="47"/>
      <c r="AB24" s="47"/>
      <c r="AC24" s="47"/>
      <c r="AD24" s="46"/>
      <c r="AE24" s="90" t="str">
        <f>IF(C24&lt;&gt;"",HYPERLINK(CONCATENATE(SheetName02,"\",Tools[[#This Row],[Manufacturer]],IF(Tools[[#This Row],[Model]]&lt;&gt;""," "&amp;Tools[[#This Row],[Model]],),".jpg"),CONCATENATE(Tools[[#This Row],[Manufacturer]],IF(Tools[[#This Row],[Model]]&lt;&gt;""," "&amp;Tools[[#This Row],[Model]],),".jpg")),"")</f>
        <v/>
      </c>
      <c r="AG24" s="5" t="str">
        <f t="shared" si="2"/>
        <v/>
      </c>
    </row>
    <row r="25" spans="2:33" x14ac:dyDescent="0.25">
      <c r="B25" s="80" t="str">
        <f t="shared" si="1"/>
        <v/>
      </c>
      <c r="C25" s="153"/>
      <c r="D25" s="153"/>
      <c r="E25" s="78"/>
      <c r="F25" s="47"/>
      <c r="G25" s="47"/>
      <c r="H25" s="47"/>
      <c r="I25" s="47"/>
      <c r="J25" s="47"/>
      <c r="K25" s="44"/>
      <c r="L25" s="47"/>
      <c r="M25" s="47"/>
      <c r="N25" s="47"/>
      <c r="O25" s="47"/>
      <c r="P25" s="78"/>
      <c r="Q25" s="46"/>
      <c r="R25" s="78"/>
      <c r="S25" s="47"/>
      <c r="T25" s="47"/>
      <c r="U25" s="111"/>
      <c r="V25" s="47"/>
      <c r="W25" s="47"/>
      <c r="X25" s="147"/>
      <c r="Y25" s="147"/>
      <c r="Z25" s="47"/>
      <c r="AA25" s="47"/>
      <c r="AB25" s="47"/>
      <c r="AC25" s="47"/>
      <c r="AD25" s="46"/>
      <c r="AE25" s="90" t="str">
        <f>IF(C25&lt;&gt;"",HYPERLINK(CONCATENATE(SheetName02,"\",Tools[[#This Row],[Manufacturer]],IF(Tools[[#This Row],[Model]]&lt;&gt;""," "&amp;Tools[[#This Row],[Model]],),".jpg"),CONCATENATE(Tools[[#This Row],[Manufacturer]],IF(Tools[[#This Row],[Model]]&lt;&gt;""," "&amp;Tools[[#This Row],[Model]],),".jpg")),"")</f>
        <v/>
      </c>
      <c r="AG25" s="5" t="str">
        <f t="shared" si="2"/>
        <v/>
      </c>
    </row>
    <row r="26" spans="2:33" x14ac:dyDescent="0.25">
      <c r="B26" s="80" t="str">
        <f t="shared" si="1"/>
        <v/>
      </c>
      <c r="C26" s="153"/>
      <c r="D26" s="153"/>
      <c r="E26" s="78"/>
      <c r="F26" s="47"/>
      <c r="G26" s="47"/>
      <c r="H26" s="47"/>
      <c r="I26" s="47"/>
      <c r="J26" s="47"/>
      <c r="K26" s="44"/>
      <c r="L26" s="47"/>
      <c r="M26" s="47"/>
      <c r="N26" s="47"/>
      <c r="O26" s="47"/>
      <c r="P26" s="78"/>
      <c r="Q26" s="46"/>
      <c r="R26" s="78"/>
      <c r="S26" s="47"/>
      <c r="T26" s="47"/>
      <c r="U26" s="111"/>
      <c r="V26" s="47"/>
      <c r="W26" s="47"/>
      <c r="X26" s="147"/>
      <c r="Y26" s="147"/>
      <c r="Z26" s="47"/>
      <c r="AA26" s="47"/>
      <c r="AB26" s="47"/>
      <c r="AC26" s="47"/>
      <c r="AD26" s="46"/>
      <c r="AE26" s="90" t="str">
        <f>IF(C26&lt;&gt;"",HYPERLINK(CONCATENATE(SheetName02,"\",Tools[[#This Row],[Manufacturer]],IF(Tools[[#This Row],[Model]]&lt;&gt;""," "&amp;Tools[[#This Row],[Model]],),".jpg"),CONCATENATE(Tools[[#This Row],[Manufacturer]],IF(Tools[[#This Row],[Model]]&lt;&gt;""," "&amp;Tools[[#This Row],[Model]],),".jpg")),"")</f>
        <v/>
      </c>
      <c r="AG26" s="5" t="str">
        <f t="shared" si="2"/>
        <v/>
      </c>
    </row>
    <row r="27" spans="2:33" x14ac:dyDescent="0.25">
      <c r="B27" s="80" t="str">
        <f t="shared" si="1"/>
        <v/>
      </c>
      <c r="C27" s="153"/>
      <c r="D27" s="153"/>
      <c r="E27" s="78"/>
      <c r="F27" s="47"/>
      <c r="G27" s="47"/>
      <c r="H27" s="47"/>
      <c r="I27" s="47"/>
      <c r="J27" s="47"/>
      <c r="K27" s="44"/>
      <c r="L27" s="47"/>
      <c r="M27" s="47"/>
      <c r="N27" s="47"/>
      <c r="O27" s="47"/>
      <c r="P27" s="78"/>
      <c r="Q27" s="46"/>
      <c r="R27" s="78"/>
      <c r="S27" s="47"/>
      <c r="T27" s="47"/>
      <c r="U27" s="111"/>
      <c r="V27" s="146"/>
      <c r="W27" s="47"/>
      <c r="X27" s="149"/>
      <c r="Y27" s="78"/>
      <c r="Z27" s="47"/>
      <c r="AA27" s="47"/>
      <c r="AB27" s="47"/>
      <c r="AC27" s="47"/>
      <c r="AD27" s="46"/>
      <c r="AE27" s="90" t="str">
        <f>IF(C27&lt;&gt;"",HYPERLINK(CONCATENATE(SheetName02,"\",Tools[[#This Row],[Manufacturer]],IF(Tools[[#This Row],[Model]]&lt;&gt;""," "&amp;Tools[[#This Row],[Model]],),".jpg"),CONCATENATE(Tools[[#This Row],[Manufacturer]],IF(Tools[[#This Row],[Model]]&lt;&gt;""," "&amp;Tools[[#This Row],[Model]],),".jpg")),"")</f>
        <v/>
      </c>
      <c r="AG27" s="5" t="str">
        <f t="shared" si="2"/>
        <v/>
      </c>
    </row>
    <row r="28" spans="2:33" x14ac:dyDescent="0.25">
      <c r="B28" s="80" t="str">
        <f t="shared" si="1"/>
        <v/>
      </c>
      <c r="C28" s="153"/>
      <c r="D28" s="153"/>
      <c r="E28" s="78"/>
      <c r="F28" s="47"/>
      <c r="G28" s="47"/>
      <c r="H28" s="47"/>
      <c r="I28" s="47"/>
      <c r="J28" s="47"/>
      <c r="K28" s="44"/>
      <c r="L28" s="47"/>
      <c r="M28" s="47"/>
      <c r="N28" s="47"/>
      <c r="O28" s="47"/>
      <c r="P28" s="78"/>
      <c r="Q28" s="46"/>
      <c r="R28" s="78"/>
      <c r="S28" s="47"/>
      <c r="T28" s="47"/>
      <c r="U28" s="111"/>
      <c r="V28" s="47"/>
      <c r="W28" s="47"/>
      <c r="X28" s="147"/>
      <c r="Y28" s="78"/>
      <c r="Z28" s="47"/>
      <c r="AA28" s="47"/>
      <c r="AB28" s="47"/>
      <c r="AC28" s="47"/>
      <c r="AD28" s="46"/>
      <c r="AE28" s="90" t="str">
        <f>IF(C28&lt;&gt;"",HYPERLINK(CONCATENATE(SheetName02,"\",Tools[[#This Row],[Manufacturer]],IF(Tools[[#This Row],[Model]]&lt;&gt;""," "&amp;Tools[[#This Row],[Model]],),".jpg"),CONCATENATE(Tools[[#This Row],[Manufacturer]],IF(Tools[[#This Row],[Model]]&lt;&gt;""," "&amp;Tools[[#This Row],[Model]],),".jpg")),"")</f>
        <v/>
      </c>
      <c r="AG28" s="5" t="str">
        <f t="shared" si="2"/>
        <v/>
      </c>
    </row>
    <row r="29" spans="2:33" x14ac:dyDescent="0.25">
      <c r="B29" s="80" t="str">
        <f t="shared" si="1"/>
        <v/>
      </c>
      <c r="C29" s="153"/>
      <c r="D29" s="153"/>
      <c r="E29" s="78"/>
      <c r="F29" s="47"/>
      <c r="G29" s="47"/>
      <c r="H29" s="47"/>
      <c r="I29" s="47"/>
      <c r="J29" s="47"/>
      <c r="K29" s="44"/>
      <c r="L29" s="47"/>
      <c r="M29" s="47"/>
      <c r="N29" s="47"/>
      <c r="O29" s="47"/>
      <c r="P29" s="78"/>
      <c r="Q29" s="46"/>
      <c r="R29" s="78"/>
      <c r="S29" s="47"/>
      <c r="T29" s="47"/>
      <c r="U29" s="111"/>
      <c r="V29" s="47"/>
      <c r="W29" s="47"/>
      <c r="X29" s="147"/>
      <c r="Y29" s="78"/>
      <c r="Z29" s="47"/>
      <c r="AA29" s="47"/>
      <c r="AB29" s="47"/>
      <c r="AC29" s="47"/>
      <c r="AD29" s="46"/>
      <c r="AE29" s="90" t="str">
        <f>IF(C29&lt;&gt;"",HYPERLINK(CONCATENATE(SheetName02,"\",Tools[[#This Row],[Manufacturer]],IF(Tools[[#This Row],[Model]]&lt;&gt;""," "&amp;Tools[[#This Row],[Model]],),".jpg"),CONCATENATE(Tools[[#This Row],[Manufacturer]],IF(Tools[[#This Row],[Model]]&lt;&gt;""," "&amp;Tools[[#This Row],[Model]],),".jpg")),"")</f>
        <v/>
      </c>
      <c r="AG29" s="5" t="str">
        <f t="shared" si="2"/>
        <v/>
      </c>
    </row>
    <row r="30" spans="2:33" x14ac:dyDescent="0.25">
      <c r="B30" s="80" t="str">
        <f t="shared" si="1"/>
        <v/>
      </c>
      <c r="C30" s="153"/>
      <c r="D30" s="153"/>
      <c r="E30" s="78"/>
      <c r="F30" s="47"/>
      <c r="G30" s="47"/>
      <c r="H30" s="47"/>
      <c r="I30" s="47"/>
      <c r="J30" s="47"/>
      <c r="K30" s="44"/>
      <c r="L30" s="47"/>
      <c r="M30" s="47"/>
      <c r="N30" s="47"/>
      <c r="O30" s="47"/>
      <c r="P30" s="78"/>
      <c r="Q30" s="46"/>
      <c r="R30" s="78"/>
      <c r="S30" s="47"/>
      <c r="T30" s="47"/>
      <c r="U30" s="111"/>
      <c r="V30" s="47"/>
      <c r="W30" s="47"/>
      <c r="X30" s="147"/>
      <c r="Y30" s="78"/>
      <c r="Z30" s="47"/>
      <c r="AA30" s="47"/>
      <c r="AB30" s="47"/>
      <c r="AC30" s="47"/>
      <c r="AD30" s="46"/>
      <c r="AE30" s="90" t="str">
        <f>IF(C30&lt;&gt;"",HYPERLINK(CONCATENATE(SheetName02,"\",Tools[[#This Row],[Manufacturer]],IF(Tools[[#This Row],[Model]]&lt;&gt;""," "&amp;Tools[[#This Row],[Model]],),".jpg"),CONCATENATE(Tools[[#This Row],[Manufacturer]],IF(Tools[[#This Row],[Model]]&lt;&gt;""," "&amp;Tools[[#This Row],[Model]],),".jpg")),"")</f>
        <v/>
      </c>
      <c r="AG30" s="5" t="str">
        <f t="shared" si="2"/>
        <v/>
      </c>
    </row>
    <row r="31" spans="2:33" x14ac:dyDescent="0.25">
      <c r="B31" s="80" t="str">
        <f t="shared" si="1"/>
        <v/>
      </c>
      <c r="C31" s="153"/>
      <c r="D31" s="153"/>
      <c r="E31" s="78"/>
      <c r="F31" s="47"/>
      <c r="G31" s="47"/>
      <c r="H31" s="47"/>
      <c r="I31" s="47"/>
      <c r="J31" s="47"/>
      <c r="K31" s="44"/>
      <c r="L31" s="47"/>
      <c r="M31" s="47"/>
      <c r="N31" s="47"/>
      <c r="O31" s="47"/>
      <c r="P31" s="78"/>
      <c r="Q31" s="46"/>
      <c r="R31" s="78"/>
      <c r="S31" s="47"/>
      <c r="T31" s="47"/>
      <c r="U31" s="111"/>
      <c r="V31" s="47"/>
      <c r="W31" s="47"/>
      <c r="X31" s="147"/>
      <c r="Y31" s="78"/>
      <c r="Z31" s="47"/>
      <c r="AA31" s="47"/>
      <c r="AB31" s="47"/>
      <c r="AC31" s="47"/>
      <c r="AD31" s="46"/>
      <c r="AE31" s="90" t="str">
        <f>IF(C31&lt;&gt;"",HYPERLINK(CONCATENATE(SheetName02,"\",Tools[[#This Row],[Manufacturer]],IF(Tools[[#This Row],[Model]]&lt;&gt;""," "&amp;Tools[[#This Row],[Model]],),".jpg"),CONCATENATE(Tools[[#This Row],[Manufacturer]],IF(Tools[[#This Row],[Model]]&lt;&gt;""," "&amp;Tools[[#This Row],[Model]],),".jpg")),"")</f>
        <v/>
      </c>
      <c r="AG31" s="5" t="str">
        <f t="shared" si="2"/>
        <v/>
      </c>
    </row>
    <row r="32" spans="2:33" x14ac:dyDescent="0.25">
      <c r="B32" s="80" t="str">
        <f t="shared" si="1"/>
        <v/>
      </c>
      <c r="C32" s="153"/>
      <c r="D32" s="153"/>
      <c r="E32" s="78"/>
      <c r="F32" s="47"/>
      <c r="G32" s="47"/>
      <c r="H32" s="47"/>
      <c r="I32" s="47"/>
      <c r="J32" s="47"/>
      <c r="K32" s="44"/>
      <c r="L32" s="47"/>
      <c r="M32" s="47"/>
      <c r="N32" s="47"/>
      <c r="O32" s="47"/>
      <c r="P32" s="78"/>
      <c r="Q32" s="46"/>
      <c r="R32" s="78"/>
      <c r="S32" s="47"/>
      <c r="T32" s="47"/>
      <c r="U32" s="111"/>
      <c r="V32" s="47"/>
      <c r="W32" s="47"/>
      <c r="X32" s="147"/>
      <c r="Y32" s="78"/>
      <c r="Z32" s="47"/>
      <c r="AA32" s="47"/>
      <c r="AB32" s="47"/>
      <c r="AC32" s="47"/>
      <c r="AD32" s="46"/>
      <c r="AE32" s="90" t="str">
        <f>IF(C32&lt;&gt;"",HYPERLINK(CONCATENATE(SheetName02,"\",Tools[[#This Row],[Manufacturer]],IF(Tools[[#This Row],[Model]]&lt;&gt;""," "&amp;Tools[[#This Row],[Model]],),".jpg"),CONCATENATE(Tools[[#This Row],[Manufacturer]],IF(Tools[[#This Row],[Model]]&lt;&gt;""," "&amp;Tools[[#This Row],[Model]],),".jpg")),"")</f>
        <v/>
      </c>
      <c r="AG32" s="5" t="str">
        <f t="shared" si="2"/>
        <v/>
      </c>
    </row>
    <row r="33" spans="2:33" x14ac:dyDescent="0.25">
      <c r="B33" s="80" t="str">
        <f t="shared" si="1"/>
        <v/>
      </c>
      <c r="C33" s="153"/>
      <c r="D33" s="153"/>
      <c r="E33" s="78"/>
      <c r="F33" s="47"/>
      <c r="G33" s="47"/>
      <c r="H33" s="47"/>
      <c r="I33" s="47"/>
      <c r="J33" s="47"/>
      <c r="K33" s="44"/>
      <c r="L33" s="47"/>
      <c r="M33" s="47"/>
      <c r="N33" s="47"/>
      <c r="O33" s="47"/>
      <c r="P33" s="78"/>
      <c r="Q33" s="46"/>
      <c r="R33" s="78"/>
      <c r="S33" s="47"/>
      <c r="T33" s="47"/>
      <c r="U33" s="111"/>
      <c r="V33" s="47"/>
      <c r="W33" s="47"/>
      <c r="X33" s="147"/>
      <c r="Y33" s="78"/>
      <c r="Z33" s="47"/>
      <c r="AA33" s="47"/>
      <c r="AB33" s="47"/>
      <c r="AC33" s="47"/>
      <c r="AD33" s="46"/>
      <c r="AE33" s="90" t="str">
        <f>IF(C33&lt;&gt;"",HYPERLINK(CONCATENATE(SheetName02,"\",Tools[[#This Row],[Manufacturer]],IF(Tools[[#This Row],[Model]]&lt;&gt;""," "&amp;Tools[[#This Row],[Model]],),".jpg"),CONCATENATE(Tools[[#This Row],[Manufacturer]],IF(Tools[[#This Row],[Model]]&lt;&gt;""," "&amp;Tools[[#This Row],[Model]],),".jpg")),"")</f>
        <v/>
      </c>
      <c r="AG33" s="5" t="str">
        <f t="shared" si="2"/>
        <v/>
      </c>
    </row>
    <row r="34" spans="2:33" x14ac:dyDescent="0.25">
      <c r="B34" s="80" t="str">
        <f t="shared" si="1"/>
        <v/>
      </c>
      <c r="C34" s="153"/>
      <c r="D34" s="153"/>
      <c r="E34" s="78"/>
      <c r="F34" s="47"/>
      <c r="G34" s="47"/>
      <c r="H34" s="47"/>
      <c r="I34" s="47"/>
      <c r="J34" s="47"/>
      <c r="K34" s="44"/>
      <c r="L34" s="47"/>
      <c r="M34" s="47"/>
      <c r="N34" s="47"/>
      <c r="O34" s="47"/>
      <c r="P34" s="78"/>
      <c r="Q34" s="46"/>
      <c r="R34" s="78"/>
      <c r="S34" s="47"/>
      <c r="T34" s="47"/>
      <c r="U34" s="111"/>
      <c r="V34" s="47"/>
      <c r="W34" s="47"/>
      <c r="X34" s="147"/>
      <c r="Y34" s="78"/>
      <c r="Z34" s="47"/>
      <c r="AA34" s="47"/>
      <c r="AB34" s="47"/>
      <c r="AC34" s="47"/>
      <c r="AD34" s="46"/>
      <c r="AE34" s="90" t="str">
        <f>IF(C34&lt;&gt;"",HYPERLINK(CONCATENATE(SheetName02,"\",Tools[[#This Row],[Manufacturer]],IF(Tools[[#This Row],[Model]]&lt;&gt;""," "&amp;Tools[[#This Row],[Model]],),".jpg"),CONCATENATE(Tools[[#This Row],[Manufacturer]],IF(Tools[[#This Row],[Model]]&lt;&gt;""," "&amp;Tools[[#This Row],[Model]],),".jpg")),"")</f>
        <v/>
      </c>
      <c r="AG34" s="5" t="str">
        <f t="shared" si="2"/>
        <v/>
      </c>
    </row>
    <row r="35" spans="2:33" x14ac:dyDescent="0.25">
      <c r="B35" s="80" t="str">
        <f t="shared" si="1"/>
        <v/>
      </c>
      <c r="C35" s="153"/>
      <c r="D35" s="153"/>
      <c r="E35" s="78"/>
      <c r="F35" s="47"/>
      <c r="G35" s="47"/>
      <c r="H35" s="47"/>
      <c r="I35" s="47"/>
      <c r="J35" s="47"/>
      <c r="K35" s="44"/>
      <c r="L35" s="47"/>
      <c r="M35" s="47"/>
      <c r="N35" s="47"/>
      <c r="O35" s="47"/>
      <c r="P35" s="78"/>
      <c r="Q35" s="46"/>
      <c r="R35" s="78"/>
      <c r="S35" s="47"/>
      <c r="T35" s="47"/>
      <c r="U35" s="111"/>
      <c r="V35" s="47"/>
      <c r="W35" s="47"/>
      <c r="X35" s="147"/>
      <c r="Y35" s="78"/>
      <c r="Z35" s="47"/>
      <c r="AA35" s="47"/>
      <c r="AB35" s="47"/>
      <c r="AC35" s="47"/>
      <c r="AD35" s="46"/>
      <c r="AE35" s="90" t="str">
        <f>IF(C35&lt;&gt;"",HYPERLINK(CONCATENATE(SheetName02,"\",Tools[[#This Row],[Manufacturer]],IF(Tools[[#This Row],[Model]]&lt;&gt;""," "&amp;Tools[[#This Row],[Model]],),".jpg"),CONCATENATE(Tools[[#This Row],[Manufacturer]],IF(Tools[[#This Row],[Model]]&lt;&gt;""," "&amp;Tools[[#This Row],[Model]],),".jpg")),"")</f>
        <v/>
      </c>
      <c r="AG35" s="5" t="str">
        <f t="shared" si="2"/>
        <v/>
      </c>
    </row>
    <row r="36" spans="2:33" x14ac:dyDescent="0.25">
      <c r="B36" s="80" t="str">
        <f t="shared" si="1"/>
        <v/>
      </c>
      <c r="C36" s="153"/>
      <c r="D36" s="153"/>
      <c r="E36" s="78"/>
      <c r="F36" s="47"/>
      <c r="G36" s="47"/>
      <c r="H36" s="47"/>
      <c r="I36" s="47"/>
      <c r="J36" s="47"/>
      <c r="K36" s="44"/>
      <c r="L36" s="47"/>
      <c r="M36" s="47"/>
      <c r="N36" s="47"/>
      <c r="O36" s="47"/>
      <c r="P36" s="78"/>
      <c r="Q36" s="46"/>
      <c r="R36" s="78"/>
      <c r="S36" s="47"/>
      <c r="T36" s="47"/>
      <c r="U36" s="111"/>
      <c r="V36" s="47"/>
      <c r="W36" s="47"/>
      <c r="X36" s="147"/>
      <c r="Y36" s="78"/>
      <c r="Z36" s="47"/>
      <c r="AA36" s="47"/>
      <c r="AB36" s="47"/>
      <c r="AC36" s="47"/>
      <c r="AD36" s="46"/>
      <c r="AE36" s="90" t="str">
        <f>IF(C36&lt;&gt;"",HYPERLINK(CONCATENATE(SheetName02,"\",Tools[[#This Row],[Manufacturer]],IF(Tools[[#This Row],[Model]]&lt;&gt;""," "&amp;Tools[[#This Row],[Model]],),".jpg"),CONCATENATE(Tools[[#This Row],[Manufacturer]],IF(Tools[[#This Row],[Model]]&lt;&gt;""," "&amp;Tools[[#This Row],[Model]],),".jpg")),"")</f>
        <v/>
      </c>
      <c r="AG36" s="5" t="str">
        <f t="shared" si="2"/>
        <v/>
      </c>
    </row>
    <row r="37" spans="2:33" x14ac:dyDescent="0.25">
      <c r="B37" s="80" t="str">
        <f t="shared" si="1"/>
        <v/>
      </c>
      <c r="C37" s="153"/>
      <c r="D37" s="153"/>
      <c r="E37" s="78"/>
      <c r="F37" s="47"/>
      <c r="G37" s="47"/>
      <c r="H37" s="47"/>
      <c r="I37" s="47"/>
      <c r="J37" s="47"/>
      <c r="K37" s="44"/>
      <c r="L37" s="47"/>
      <c r="M37" s="47"/>
      <c r="N37" s="47"/>
      <c r="O37" s="47"/>
      <c r="P37" s="78"/>
      <c r="Q37" s="46"/>
      <c r="R37" s="78"/>
      <c r="S37" s="47"/>
      <c r="T37" s="47"/>
      <c r="U37" s="111"/>
      <c r="V37" s="47"/>
      <c r="W37" s="47"/>
      <c r="X37" s="147"/>
      <c r="Y37" s="78"/>
      <c r="Z37" s="47"/>
      <c r="AA37" s="47"/>
      <c r="AB37" s="47"/>
      <c r="AC37" s="47"/>
      <c r="AD37" s="46"/>
      <c r="AE37" s="90" t="str">
        <f>IF(C37&lt;&gt;"",HYPERLINK(CONCATENATE(SheetName02,"\",Tools[[#This Row],[Manufacturer]],IF(Tools[[#This Row],[Model]]&lt;&gt;""," "&amp;Tools[[#This Row],[Model]],),".jpg"),CONCATENATE(Tools[[#This Row],[Manufacturer]],IF(Tools[[#This Row],[Model]]&lt;&gt;""," "&amp;Tools[[#This Row],[Model]],),".jpg")),"")</f>
        <v/>
      </c>
      <c r="AG37" s="5" t="str">
        <f t="shared" si="2"/>
        <v/>
      </c>
    </row>
    <row r="38" spans="2:33" x14ac:dyDescent="0.25">
      <c r="B38" s="80" t="str">
        <f t="shared" si="1"/>
        <v/>
      </c>
      <c r="C38" s="153"/>
      <c r="D38" s="153"/>
      <c r="E38" s="78"/>
      <c r="F38" s="47"/>
      <c r="G38" s="47"/>
      <c r="H38" s="47"/>
      <c r="I38" s="47"/>
      <c r="J38" s="47"/>
      <c r="K38" s="44"/>
      <c r="L38" s="47"/>
      <c r="M38" s="47"/>
      <c r="N38" s="47"/>
      <c r="O38" s="47"/>
      <c r="P38" s="78"/>
      <c r="Q38" s="46"/>
      <c r="R38" s="78"/>
      <c r="S38" s="47"/>
      <c r="T38" s="47"/>
      <c r="U38" s="111"/>
      <c r="V38" s="47"/>
      <c r="W38" s="47"/>
      <c r="X38" s="147"/>
      <c r="Y38" s="78"/>
      <c r="Z38" s="47"/>
      <c r="AA38" s="47"/>
      <c r="AB38" s="47"/>
      <c r="AC38" s="47"/>
      <c r="AD38" s="46"/>
      <c r="AE38" s="90" t="str">
        <f>IF(C38&lt;&gt;"",HYPERLINK(CONCATENATE(SheetName02,"\",Tools[[#This Row],[Manufacturer]],IF(Tools[[#This Row],[Model]]&lt;&gt;""," "&amp;Tools[[#This Row],[Model]],),".jpg"),CONCATENATE(Tools[[#This Row],[Manufacturer]],IF(Tools[[#This Row],[Model]]&lt;&gt;""," "&amp;Tools[[#This Row],[Model]],),".jpg")),"")</f>
        <v/>
      </c>
      <c r="AG38" s="5" t="str">
        <f t="shared" si="2"/>
        <v/>
      </c>
    </row>
    <row r="39" spans="2:33" x14ac:dyDescent="0.25">
      <c r="B39" s="80" t="str">
        <f t="shared" si="1"/>
        <v/>
      </c>
      <c r="C39" s="153"/>
      <c r="D39" s="153"/>
      <c r="E39" s="78"/>
      <c r="F39" s="47"/>
      <c r="G39" s="47"/>
      <c r="H39" s="47"/>
      <c r="I39" s="47"/>
      <c r="J39" s="47"/>
      <c r="K39" s="44"/>
      <c r="L39" s="47"/>
      <c r="M39" s="47"/>
      <c r="N39" s="47"/>
      <c r="O39" s="47"/>
      <c r="P39" s="78"/>
      <c r="Q39" s="46"/>
      <c r="R39" s="78"/>
      <c r="S39" s="47"/>
      <c r="T39" s="47"/>
      <c r="U39" s="111"/>
      <c r="V39" s="47"/>
      <c r="W39" s="47"/>
      <c r="X39" s="147"/>
      <c r="Y39" s="78"/>
      <c r="Z39" s="47"/>
      <c r="AA39" s="47"/>
      <c r="AB39" s="47"/>
      <c r="AC39" s="47"/>
      <c r="AD39" s="46"/>
      <c r="AE39" s="90" t="str">
        <f>IF(C39&lt;&gt;"",HYPERLINK(CONCATENATE(SheetName02,"\",Tools[[#This Row],[Manufacturer]],IF(Tools[[#This Row],[Model]]&lt;&gt;""," "&amp;Tools[[#This Row],[Model]],),".jpg"),CONCATENATE(Tools[[#This Row],[Manufacturer]],IF(Tools[[#This Row],[Model]]&lt;&gt;""," "&amp;Tools[[#This Row],[Model]],),".jpg")),"")</f>
        <v/>
      </c>
      <c r="AG39" s="5" t="str">
        <f t="shared" si="2"/>
        <v/>
      </c>
    </row>
    <row r="40" spans="2:33" x14ac:dyDescent="0.25">
      <c r="B40" s="80" t="str">
        <f t="shared" si="1"/>
        <v/>
      </c>
      <c r="C40" s="153"/>
      <c r="D40" s="153"/>
      <c r="E40" s="78"/>
      <c r="F40" s="47"/>
      <c r="G40" s="47"/>
      <c r="H40" s="47"/>
      <c r="I40" s="47"/>
      <c r="J40" s="47"/>
      <c r="K40" s="44"/>
      <c r="L40" s="47"/>
      <c r="M40" s="47"/>
      <c r="N40" s="47"/>
      <c r="O40" s="47"/>
      <c r="P40" s="78"/>
      <c r="Q40" s="46"/>
      <c r="R40" s="78"/>
      <c r="S40" s="47"/>
      <c r="T40" s="47"/>
      <c r="U40" s="111"/>
      <c r="V40" s="47"/>
      <c r="W40" s="47"/>
      <c r="X40" s="147"/>
      <c r="Y40" s="78"/>
      <c r="Z40" s="47"/>
      <c r="AA40" s="47"/>
      <c r="AB40" s="47"/>
      <c r="AC40" s="47"/>
      <c r="AD40" s="46"/>
      <c r="AE40" s="90" t="str">
        <f>IF(C40&lt;&gt;"",HYPERLINK(CONCATENATE(SheetName02,"\",Tools[[#This Row],[Manufacturer]],IF(Tools[[#This Row],[Model]]&lt;&gt;""," "&amp;Tools[[#This Row],[Model]],),".jpg"),CONCATENATE(Tools[[#This Row],[Manufacturer]],IF(Tools[[#This Row],[Model]]&lt;&gt;""," "&amp;Tools[[#This Row],[Model]],),".jpg")),"")</f>
        <v/>
      </c>
      <c r="AG40" s="5" t="str">
        <f t="shared" si="2"/>
        <v/>
      </c>
    </row>
    <row r="41" spans="2:33" x14ac:dyDescent="0.25">
      <c r="B41" s="80" t="str">
        <f t="shared" si="1"/>
        <v/>
      </c>
      <c r="C41" s="153"/>
      <c r="D41" s="153"/>
      <c r="E41" s="78"/>
      <c r="F41" s="47"/>
      <c r="G41" s="47"/>
      <c r="H41" s="47"/>
      <c r="I41" s="47"/>
      <c r="J41" s="47"/>
      <c r="K41" s="44"/>
      <c r="L41" s="47"/>
      <c r="M41" s="47"/>
      <c r="N41" s="47"/>
      <c r="O41" s="47"/>
      <c r="P41" s="78"/>
      <c r="Q41" s="46"/>
      <c r="R41" s="78"/>
      <c r="S41" s="47"/>
      <c r="T41" s="47"/>
      <c r="U41" s="111"/>
      <c r="V41" s="47"/>
      <c r="W41" s="47"/>
      <c r="X41" s="147"/>
      <c r="Y41" s="78"/>
      <c r="Z41" s="47"/>
      <c r="AA41" s="47"/>
      <c r="AB41" s="47"/>
      <c r="AC41" s="47"/>
      <c r="AD41" s="46"/>
      <c r="AE41" s="90" t="str">
        <f>IF(C41&lt;&gt;"",HYPERLINK(CONCATENATE(SheetName02,"\",Tools[[#This Row],[Manufacturer]],IF(Tools[[#This Row],[Model]]&lt;&gt;""," "&amp;Tools[[#This Row],[Model]],),".jpg"),CONCATENATE(Tools[[#This Row],[Manufacturer]],IF(Tools[[#This Row],[Model]]&lt;&gt;""," "&amp;Tools[[#This Row],[Model]],),".jpg")),"")</f>
        <v/>
      </c>
      <c r="AG41" s="5" t="str">
        <f t="shared" si="2"/>
        <v/>
      </c>
    </row>
    <row r="42" spans="2:33" x14ac:dyDescent="0.25">
      <c r="B42" s="80" t="str">
        <f t="shared" si="1"/>
        <v/>
      </c>
      <c r="C42" s="153"/>
      <c r="D42" s="153"/>
      <c r="E42" s="78"/>
      <c r="F42" s="47"/>
      <c r="G42" s="47"/>
      <c r="H42" s="47"/>
      <c r="I42" s="47"/>
      <c r="J42" s="47"/>
      <c r="K42" s="44"/>
      <c r="L42" s="47"/>
      <c r="M42" s="47"/>
      <c r="N42" s="47"/>
      <c r="O42" s="47"/>
      <c r="P42" s="78"/>
      <c r="Q42" s="46"/>
      <c r="R42" s="78"/>
      <c r="S42" s="47"/>
      <c r="T42" s="47"/>
      <c r="U42" s="111"/>
      <c r="V42" s="47"/>
      <c r="W42" s="47"/>
      <c r="X42" s="147"/>
      <c r="Y42" s="78"/>
      <c r="Z42" s="47"/>
      <c r="AA42" s="47"/>
      <c r="AB42" s="47"/>
      <c r="AC42" s="47"/>
      <c r="AD42" s="46"/>
      <c r="AE42" s="90" t="str">
        <f>IF(C42&lt;&gt;"",HYPERLINK(CONCATENATE(SheetName02,"\",Tools[[#This Row],[Manufacturer]],IF(Tools[[#This Row],[Model]]&lt;&gt;""," "&amp;Tools[[#This Row],[Model]],),".jpg"),CONCATENATE(Tools[[#This Row],[Manufacturer]],IF(Tools[[#This Row],[Model]]&lt;&gt;""," "&amp;Tools[[#This Row],[Model]],),".jpg")),"")</f>
        <v/>
      </c>
      <c r="AG42" s="5" t="str">
        <f t="shared" si="2"/>
        <v/>
      </c>
    </row>
    <row r="43" spans="2:33" x14ac:dyDescent="0.25">
      <c r="B43" s="80" t="str">
        <f t="shared" si="1"/>
        <v/>
      </c>
      <c r="C43" s="153"/>
      <c r="D43" s="153"/>
      <c r="E43" s="78"/>
      <c r="F43" s="47"/>
      <c r="G43" s="47"/>
      <c r="H43" s="47"/>
      <c r="I43" s="47"/>
      <c r="J43" s="47"/>
      <c r="K43" s="44"/>
      <c r="L43" s="47"/>
      <c r="M43" s="47"/>
      <c r="N43" s="47"/>
      <c r="O43" s="47"/>
      <c r="P43" s="78"/>
      <c r="Q43" s="46"/>
      <c r="R43" s="78"/>
      <c r="S43" s="47"/>
      <c r="T43" s="47"/>
      <c r="U43" s="111"/>
      <c r="V43" s="47"/>
      <c r="W43" s="47"/>
      <c r="X43" s="147"/>
      <c r="Y43" s="78"/>
      <c r="Z43" s="47"/>
      <c r="AA43" s="47"/>
      <c r="AB43" s="47"/>
      <c r="AC43" s="47"/>
      <c r="AD43" s="46"/>
      <c r="AE43" s="90" t="str">
        <f>IF(C43&lt;&gt;"",HYPERLINK(CONCATENATE(SheetName02,"\",Tools[[#This Row],[Manufacturer]],IF(Tools[[#This Row],[Model]]&lt;&gt;""," "&amp;Tools[[#This Row],[Model]],),".jpg"),CONCATENATE(Tools[[#This Row],[Manufacturer]],IF(Tools[[#This Row],[Model]]&lt;&gt;""," "&amp;Tools[[#This Row],[Model]],),".jpg")),"")</f>
        <v/>
      </c>
      <c r="AG43" s="5" t="str">
        <f t="shared" si="2"/>
        <v/>
      </c>
    </row>
    <row r="44" spans="2:33" x14ac:dyDescent="0.25">
      <c r="B44" s="80" t="str">
        <f t="shared" si="1"/>
        <v/>
      </c>
      <c r="C44" s="153"/>
      <c r="D44" s="153"/>
      <c r="E44" s="78"/>
      <c r="F44" s="47"/>
      <c r="G44" s="47"/>
      <c r="H44" s="47"/>
      <c r="I44" s="47"/>
      <c r="J44" s="47"/>
      <c r="K44" s="44"/>
      <c r="L44" s="47"/>
      <c r="M44" s="47"/>
      <c r="N44" s="47"/>
      <c r="O44" s="47"/>
      <c r="P44" s="78"/>
      <c r="Q44" s="46"/>
      <c r="R44" s="78"/>
      <c r="S44" s="47"/>
      <c r="T44" s="47"/>
      <c r="U44" s="111"/>
      <c r="V44" s="47"/>
      <c r="W44" s="47"/>
      <c r="X44" s="147"/>
      <c r="Y44" s="78"/>
      <c r="Z44" s="47"/>
      <c r="AA44" s="47"/>
      <c r="AB44" s="47"/>
      <c r="AC44" s="47"/>
      <c r="AD44" s="46"/>
      <c r="AE44" s="90" t="str">
        <f>IF(C44&lt;&gt;"",HYPERLINK(CONCATENATE(SheetName02,"\",Tools[[#This Row],[Manufacturer]],IF(Tools[[#This Row],[Model]]&lt;&gt;""," "&amp;Tools[[#This Row],[Model]],),".jpg"),CONCATENATE(Tools[[#This Row],[Manufacturer]],IF(Tools[[#This Row],[Model]]&lt;&gt;""," "&amp;Tools[[#This Row],[Model]],),".jpg")),"")</f>
        <v/>
      </c>
      <c r="AG44" s="5" t="str">
        <f t="shared" si="2"/>
        <v/>
      </c>
    </row>
    <row r="45" spans="2:33" x14ac:dyDescent="0.25">
      <c r="B45" s="80" t="str">
        <f t="shared" si="1"/>
        <v/>
      </c>
      <c r="C45" s="153"/>
      <c r="D45" s="153"/>
      <c r="E45" s="78"/>
      <c r="F45" s="47"/>
      <c r="G45" s="47"/>
      <c r="H45" s="47"/>
      <c r="I45" s="47"/>
      <c r="J45" s="47"/>
      <c r="K45" s="44"/>
      <c r="L45" s="47"/>
      <c r="M45" s="47"/>
      <c r="N45" s="47"/>
      <c r="O45" s="47"/>
      <c r="P45" s="78"/>
      <c r="Q45" s="46"/>
      <c r="R45" s="78"/>
      <c r="S45" s="47"/>
      <c r="T45" s="47"/>
      <c r="U45" s="111"/>
      <c r="V45" s="47"/>
      <c r="W45" s="47"/>
      <c r="X45" s="147"/>
      <c r="Y45" s="78"/>
      <c r="Z45" s="47"/>
      <c r="AA45" s="47"/>
      <c r="AB45" s="47"/>
      <c r="AC45" s="47"/>
      <c r="AD45" s="46"/>
      <c r="AE45" s="90" t="str">
        <f>IF(C45&lt;&gt;"",HYPERLINK(CONCATENATE(SheetName02,"\",Tools[[#This Row],[Manufacturer]],IF(Tools[[#This Row],[Model]]&lt;&gt;""," "&amp;Tools[[#This Row],[Model]],),".jpg"),CONCATENATE(Tools[[#This Row],[Manufacturer]],IF(Tools[[#This Row],[Model]]&lt;&gt;""," "&amp;Tools[[#This Row],[Model]],),".jpg")),"")</f>
        <v/>
      </c>
      <c r="AG45" s="5" t="str">
        <f t="shared" si="2"/>
        <v/>
      </c>
    </row>
    <row r="46" spans="2:33" x14ac:dyDescent="0.25">
      <c r="B46" s="80" t="str">
        <f t="shared" si="1"/>
        <v/>
      </c>
      <c r="C46" s="153"/>
      <c r="D46" s="153"/>
      <c r="E46" s="78"/>
      <c r="F46" s="47"/>
      <c r="G46" s="47"/>
      <c r="H46" s="47"/>
      <c r="I46" s="47"/>
      <c r="J46" s="47"/>
      <c r="K46" s="44"/>
      <c r="L46" s="47"/>
      <c r="M46" s="47"/>
      <c r="N46" s="47"/>
      <c r="O46" s="47"/>
      <c r="P46" s="78"/>
      <c r="Q46" s="46"/>
      <c r="R46" s="78"/>
      <c r="S46" s="47"/>
      <c r="T46" s="47"/>
      <c r="U46" s="111"/>
      <c r="V46" s="47"/>
      <c r="W46" s="47"/>
      <c r="X46" s="147"/>
      <c r="Y46" s="78"/>
      <c r="Z46" s="47"/>
      <c r="AA46" s="47"/>
      <c r="AB46" s="47"/>
      <c r="AC46" s="47"/>
      <c r="AD46" s="46"/>
      <c r="AE46" s="90" t="str">
        <f>IF(C46&lt;&gt;"",HYPERLINK(CONCATENATE(SheetName02,"\",Tools[[#This Row],[Manufacturer]],IF(Tools[[#This Row],[Model]]&lt;&gt;""," "&amp;Tools[[#This Row],[Model]],),".jpg"),CONCATENATE(Tools[[#This Row],[Manufacturer]],IF(Tools[[#This Row],[Model]]&lt;&gt;""," "&amp;Tools[[#This Row],[Model]],),".jpg")),"")</f>
        <v/>
      </c>
      <c r="AG46" s="5" t="str">
        <f t="shared" si="2"/>
        <v/>
      </c>
    </row>
    <row r="47" spans="2:33" x14ac:dyDescent="0.25">
      <c r="B47" s="80" t="str">
        <f t="shared" si="1"/>
        <v/>
      </c>
      <c r="C47" s="153"/>
      <c r="D47" s="153"/>
      <c r="E47" s="78"/>
      <c r="F47" s="47"/>
      <c r="G47" s="47"/>
      <c r="H47" s="47"/>
      <c r="I47" s="47"/>
      <c r="J47" s="47"/>
      <c r="K47" s="44"/>
      <c r="L47" s="47"/>
      <c r="M47" s="47"/>
      <c r="N47" s="47"/>
      <c r="O47" s="47"/>
      <c r="P47" s="78"/>
      <c r="Q47" s="46"/>
      <c r="R47" s="78"/>
      <c r="S47" s="47"/>
      <c r="T47" s="47"/>
      <c r="U47" s="111"/>
      <c r="V47" s="47"/>
      <c r="W47" s="47"/>
      <c r="X47" s="147"/>
      <c r="Y47" s="78"/>
      <c r="Z47" s="47"/>
      <c r="AA47" s="47"/>
      <c r="AB47" s="47"/>
      <c r="AC47" s="47"/>
      <c r="AD47" s="46"/>
      <c r="AE47" s="90" t="str">
        <f>IF(C47&lt;&gt;"",HYPERLINK(CONCATENATE(SheetName02,"\",Tools[[#This Row],[Manufacturer]],IF(Tools[[#This Row],[Model]]&lt;&gt;""," "&amp;Tools[[#This Row],[Model]],),".jpg"),CONCATENATE(Tools[[#This Row],[Manufacturer]],IF(Tools[[#This Row],[Model]]&lt;&gt;""," "&amp;Tools[[#This Row],[Model]],),".jpg")),"")</f>
        <v/>
      </c>
      <c r="AG47" s="5" t="str">
        <f t="shared" si="2"/>
        <v/>
      </c>
    </row>
    <row r="48" spans="2:33" x14ac:dyDescent="0.25">
      <c r="B48" s="80" t="str">
        <f t="shared" si="1"/>
        <v/>
      </c>
      <c r="C48" s="153"/>
      <c r="D48" s="153"/>
      <c r="E48" s="78"/>
      <c r="F48" s="47"/>
      <c r="G48" s="47"/>
      <c r="H48" s="47"/>
      <c r="I48" s="47"/>
      <c r="J48" s="47"/>
      <c r="K48" s="44"/>
      <c r="L48" s="47"/>
      <c r="M48" s="47"/>
      <c r="N48" s="47"/>
      <c r="O48" s="47"/>
      <c r="P48" s="78"/>
      <c r="Q48" s="46"/>
      <c r="R48" s="78"/>
      <c r="S48" s="47"/>
      <c r="T48" s="47"/>
      <c r="U48" s="111"/>
      <c r="V48" s="47"/>
      <c r="W48" s="47"/>
      <c r="X48" s="147"/>
      <c r="Y48" s="78"/>
      <c r="Z48" s="47"/>
      <c r="AA48" s="47"/>
      <c r="AB48" s="47"/>
      <c r="AC48" s="47"/>
      <c r="AD48" s="46"/>
      <c r="AE48" s="90" t="str">
        <f>IF(C48&lt;&gt;"",HYPERLINK(CONCATENATE(SheetName02,"\",Tools[[#This Row],[Manufacturer]],IF(Tools[[#This Row],[Model]]&lt;&gt;""," "&amp;Tools[[#This Row],[Model]],),".jpg"),CONCATENATE(Tools[[#This Row],[Manufacturer]],IF(Tools[[#This Row],[Model]]&lt;&gt;""," "&amp;Tools[[#This Row],[Model]],),".jpg")),"")</f>
        <v/>
      </c>
      <c r="AG48" s="5" t="str">
        <f t="shared" si="2"/>
        <v/>
      </c>
    </row>
    <row r="49" spans="2:33" x14ac:dyDescent="0.25">
      <c r="B49" s="80" t="str">
        <f t="shared" si="1"/>
        <v/>
      </c>
      <c r="C49" s="153"/>
      <c r="D49" s="153"/>
      <c r="E49" s="78"/>
      <c r="F49" s="47"/>
      <c r="G49" s="47"/>
      <c r="H49" s="47"/>
      <c r="I49" s="47"/>
      <c r="J49" s="47"/>
      <c r="K49" s="44"/>
      <c r="L49" s="47"/>
      <c r="M49" s="47"/>
      <c r="N49" s="47"/>
      <c r="O49" s="47"/>
      <c r="P49" s="78"/>
      <c r="Q49" s="46"/>
      <c r="R49" s="78"/>
      <c r="S49" s="47"/>
      <c r="T49" s="47"/>
      <c r="U49" s="111"/>
      <c r="V49" s="47"/>
      <c r="W49" s="47"/>
      <c r="X49" s="147"/>
      <c r="Y49" s="78"/>
      <c r="Z49" s="47"/>
      <c r="AA49" s="47"/>
      <c r="AB49" s="47"/>
      <c r="AC49" s="47"/>
      <c r="AD49" s="46"/>
      <c r="AE49" s="90" t="str">
        <f>IF(C49&lt;&gt;"",HYPERLINK(CONCATENATE(SheetName02,"\",Tools[[#This Row],[Manufacturer]],IF(Tools[[#This Row],[Model]]&lt;&gt;""," "&amp;Tools[[#This Row],[Model]],),".jpg"),CONCATENATE(Tools[[#This Row],[Manufacturer]],IF(Tools[[#This Row],[Model]]&lt;&gt;""," "&amp;Tools[[#This Row],[Model]],),".jpg")),"")</f>
        <v/>
      </c>
      <c r="AG49" s="5" t="str">
        <f t="shared" si="2"/>
        <v/>
      </c>
    </row>
    <row r="50" spans="2:33" x14ac:dyDescent="0.25">
      <c r="B50" s="80" t="str">
        <f t="shared" si="1"/>
        <v/>
      </c>
      <c r="C50" s="153"/>
      <c r="D50" s="153"/>
      <c r="E50" s="78"/>
      <c r="F50" s="47"/>
      <c r="G50" s="47"/>
      <c r="H50" s="47"/>
      <c r="I50" s="47"/>
      <c r="J50" s="47"/>
      <c r="K50" s="44"/>
      <c r="L50" s="47"/>
      <c r="M50" s="47"/>
      <c r="N50" s="47"/>
      <c r="O50" s="47"/>
      <c r="P50" s="78"/>
      <c r="Q50" s="46"/>
      <c r="R50" s="78"/>
      <c r="S50" s="47"/>
      <c r="T50" s="47"/>
      <c r="U50" s="111"/>
      <c r="V50" s="47"/>
      <c r="W50" s="47"/>
      <c r="X50" s="147"/>
      <c r="Y50" s="78"/>
      <c r="Z50" s="47"/>
      <c r="AA50" s="47"/>
      <c r="AB50" s="47"/>
      <c r="AC50" s="47"/>
      <c r="AD50" s="46"/>
      <c r="AE50" s="90" t="str">
        <f>IF(C50&lt;&gt;"",HYPERLINK(CONCATENATE(SheetName02,"\",Tools[[#This Row],[Manufacturer]],IF(Tools[[#This Row],[Model]]&lt;&gt;""," "&amp;Tools[[#This Row],[Model]],),".jpg"),CONCATENATE(Tools[[#This Row],[Manufacturer]],IF(Tools[[#This Row],[Model]]&lt;&gt;""," "&amp;Tools[[#This Row],[Model]],),".jpg")),"")</f>
        <v/>
      </c>
      <c r="AG50" s="5" t="str">
        <f t="shared" si="2"/>
        <v/>
      </c>
    </row>
    <row r="51" spans="2:33" x14ac:dyDescent="0.25">
      <c r="B51" s="80" t="str">
        <f t="shared" si="1"/>
        <v/>
      </c>
      <c r="C51" s="153"/>
      <c r="D51" s="153"/>
      <c r="E51" s="78"/>
      <c r="F51" s="47"/>
      <c r="G51" s="47"/>
      <c r="H51" s="47"/>
      <c r="I51" s="47"/>
      <c r="J51" s="47"/>
      <c r="K51" s="44"/>
      <c r="L51" s="47"/>
      <c r="M51" s="47"/>
      <c r="N51" s="47"/>
      <c r="O51" s="47"/>
      <c r="P51" s="78"/>
      <c r="Q51" s="46"/>
      <c r="R51" s="78"/>
      <c r="S51" s="47"/>
      <c r="T51" s="47"/>
      <c r="U51" s="111"/>
      <c r="V51" s="47"/>
      <c r="W51" s="47"/>
      <c r="X51" s="147"/>
      <c r="Y51" s="78"/>
      <c r="Z51" s="47"/>
      <c r="AA51" s="47"/>
      <c r="AB51" s="47"/>
      <c r="AC51" s="47"/>
      <c r="AD51" s="46"/>
      <c r="AE51" s="90" t="str">
        <f>IF(C51&lt;&gt;"",HYPERLINK(CONCATENATE(SheetName02,"\",Tools[[#This Row],[Manufacturer]],IF(Tools[[#This Row],[Model]]&lt;&gt;""," "&amp;Tools[[#This Row],[Model]],),".jpg"),CONCATENATE(Tools[[#This Row],[Manufacturer]],IF(Tools[[#This Row],[Model]]&lt;&gt;""," "&amp;Tools[[#This Row],[Model]],),".jpg")),"")</f>
        <v/>
      </c>
      <c r="AG51" s="5" t="str">
        <f t="shared" si="2"/>
        <v/>
      </c>
    </row>
    <row r="52" spans="2:33" x14ac:dyDescent="0.25">
      <c r="B52" s="80" t="str">
        <f t="shared" si="1"/>
        <v/>
      </c>
      <c r="C52" s="153"/>
      <c r="D52" s="153"/>
      <c r="E52" s="78"/>
      <c r="F52" s="47"/>
      <c r="G52" s="47"/>
      <c r="H52" s="47"/>
      <c r="I52" s="47"/>
      <c r="J52" s="47"/>
      <c r="K52" s="44"/>
      <c r="L52" s="47"/>
      <c r="M52" s="47"/>
      <c r="N52" s="47"/>
      <c r="O52" s="47"/>
      <c r="P52" s="78"/>
      <c r="Q52" s="46"/>
      <c r="R52" s="78"/>
      <c r="S52" s="47"/>
      <c r="T52" s="47"/>
      <c r="U52" s="111"/>
      <c r="V52" s="47"/>
      <c r="W52" s="47"/>
      <c r="X52" s="147"/>
      <c r="Y52" s="78"/>
      <c r="Z52" s="47"/>
      <c r="AA52" s="47"/>
      <c r="AB52" s="47"/>
      <c r="AC52" s="47"/>
      <c r="AD52" s="46"/>
      <c r="AE52" s="90" t="str">
        <f>IF(C52&lt;&gt;"",HYPERLINK(CONCATENATE(SheetName02,"\",Tools[[#This Row],[Manufacturer]],IF(Tools[[#This Row],[Model]]&lt;&gt;""," "&amp;Tools[[#This Row],[Model]],),".jpg"),CONCATENATE(Tools[[#This Row],[Manufacturer]],IF(Tools[[#This Row],[Model]]&lt;&gt;""," "&amp;Tools[[#This Row],[Model]],),".jpg")),"")</f>
        <v/>
      </c>
      <c r="AG52" s="5" t="str">
        <f t="shared" si="2"/>
        <v/>
      </c>
    </row>
    <row r="53" spans="2:33" x14ac:dyDescent="0.25">
      <c r="B53" s="80" t="str">
        <f t="shared" si="1"/>
        <v/>
      </c>
      <c r="C53" s="153"/>
      <c r="D53" s="153"/>
      <c r="E53" s="78"/>
      <c r="F53" s="47"/>
      <c r="G53" s="47"/>
      <c r="H53" s="47"/>
      <c r="I53" s="47"/>
      <c r="J53" s="47"/>
      <c r="K53" s="44"/>
      <c r="L53" s="47"/>
      <c r="M53" s="47"/>
      <c r="N53" s="47"/>
      <c r="O53" s="47"/>
      <c r="P53" s="78"/>
      <c r="Q53" s="46"/>
      <c r="R53" s="78"/>
      <c r="S53" s="47"/>
      <c r="T53" s="47"/>
      <c r="U53" s="111"/>
      <c r="V53" s="47"/>
      <c r="W53" s="47"/>
      <c r="X53" s="147"/>
      <c r="Y53" s="78"/>
      <c r="Z53" s="47"/>
      <c r="AA53" s="47"/>
      <c r="AB53" s="47"/>
      <c r="AC53" s="47"/>
      <c r="AD53" s="46"/>
      <c r="AE53" s="90" t="str">
        <f>IF(C53&lt;&gt;"",HYPERLINK(CONCATENATE(SheetName02,"\",Tools[[#This Row],[Manufacturer]],IF(Tools[[#This Row],[Model]]&lt;&gt;""," "&amp;Tools[[#This Row],[Model]],),".jpg"),CONCATENATE(Tools[[#This Row],[Manufacturer]],IF(Tools[[#This Row],[Model]]&lt;&gt;""," "&amp;Tools[[#This Row],[Model]],),".jpg")),"")</f>
        <v/>
      </c>
      <c r="AG53" s="5" t="str">
        <f t="shared" si="2"/>
        <v/>
      </c>
    </row>
    <row r="54" spans="2:33" x14ac:dyDescent="0.25">
      <c r="B54" s="80" t="str">
        <f t="shared" si="1"/>
        <v/>
      </c>
      <c r="C54" s="153"/>
      <c r="D54" s="153"/>
      <c r="E54" s="78"/>
      <c r="F54" s="47"/>
      <c r="G54" s="47"/>
      <c r="H54" s="47"/>
      <c r="I54" s="47"/>
      <c r="J54" s="47"/>
      <c r="K54" s="44"/>
      <c r="L54" s="47"/>
      <c r="M54" s="47"/>
      <c r="N54" s="47"/>
      <c r="O54" s="47"/>
      <c r="P54" s="78"/>
      <c r="Q54" s="46"/>
      <c r="R54" s="78"/>
      <c r="S54" s="47"/>
      <c r="T54" s="47"/>
      <c r="U54" s="111"/>
      <c r="V54" s="47"/>
      <c r="W54" s="47"/>
      <c r="X54" s="147"/>
      <c r="Y54" s="78"/>
      <c r="Z54" s="47"/>
      <c r="AA54" s="47"/>
      <c r="AB54" s="47"/>
      <c r="AC54" s="47"/>
      <c r="AD54" s="46"/>
      <c r="AE54" s="90" t="str">
        <f>IF(C54&lt;&gt;"",HYPERLINK(CONCATENATE(SheetName02,"\",Tools[[#This Row],[Manufacturer]],IF(Tools[[#This Row],[Model]]&lt;&gt;""," "&amp;Tools[[#This Row],[Model]],),".jpg"),CONCATENATE(Tools[[#This Row],[Manufacturer]],IF(Tools[[#This Row],[Model]]&lt;&gt;""," "&amp;Tools[[#This Row],[Model]],),".jpg")),"")</f>
        <v/>
      </c>
      <c r="AG54" s="5" t="str">
        <f t="shared" si="2"/>
        <v/>
      </c>
    </row>
    <row r="55" spans="2:33" x14ac:dyDescent="0.25">
      <c r="B55" s="80" t="str">
        <f t="shared" si="1"/>
        <v/>
      </c>
      <c r="C55" s="153"/>
      <c r="D55" s="153"/>
      <c r="E55" s="78"/>
      <c r="F55" s="47"/>
      <c r="G55" s="47"/>
      <c r="H55" s="47"/>
      <c r="I55" s="47"/>
      <c r="J55" s="47"/>
      <c r="K55" s="44"/>
      <c r="L55" s="47"/>
      <c r="M55" s="47"/>
      <c r="N55" s="47"/>
      <c r="O55" s="47"/>
      <c r="P55" s="78"/>
      <c r="Q55" s="46"/>
      <c r="R55" s="78"/>
      <c r="S55" s="47"/>
      <c r="T55" s="47"/>
      <c r="U55" s="111"/>
      <c r="V55" s="47"/>
      <c r="W55" s="47"/>
      <c r="X55" s="147"/>
      <c r="Y55" s="78"/>
      <c r="Z55" s="47"/>
      <c r="AA55" s="47"/>
      <c r="AB55" s="47"/>
      <c r="AC55" s="47"/>
      <c r="AD55" s="46"/>
      <c r="AE55" s="90" t="str">
        <f>IF(C55&lt;&gt;"",HYPERLINK(CONCATENATE(SheetName02,"\",Tools[[#This Row],[Manufacturer]],IF(Tools[[#This Row],[Model]]&lt;&gt;""," "&amp;Tools[[#This Row],[Model]],),".jpg"),CONCATENATE(Tools[[#This Row],[Manufacturer]],IF(Tools[[#This Row],[Model]]&lt;&gt;""," "&amp;Tools[[#This Row],[Model]],),".jpg")),"")</f>
        <v/>
      </c>
      <c r="AG55" s="5" t="str">
        <f t="shared" si="2"/>
        <v/>
      </c>
    </row>
    <row r="56" spans="2:33" x14ac:dyDescent="0.25">
      <c r="B56" s="80" t="str">
        <f t="shared" si="1"/>
        <v/>
      </c>
      <c r="C56" s="153"/>
      <c r="D56" s="153"/>
      <c r="E56" s="78"/>
      <c r="F56" s="47"/>
      <c r="G56" s="47"/>
      <c r="H56" s="47"/>
      <c r="I56" s="47"/>
      <c r="J56" s="47"/>
      <c r="K56" s="44"/>
      <c r="L56" s="47"/>
      <c r="M56" s="47"/>
      <c r="N56" s="47"/>
      <c r="O56" s="47"/>
      <c r="P56" s="78"/>
      <c r="Q56" s="46"/>
      <c r="R56" s="78"/>
      <c r="S56" s="47"/>
      <c r="T56" s="47"/>
      <c r="U56" s="111"/>
      <c r="V56" s="47"/>
      <c r="W56" s="47"/>
      <c r="X56" s="147"/>
      <c r="Y56" s="78"/>
      <c r="Z56" s="47"/>
      <c r="AA56" s="47"/>
      <c r="AB56" s="47"/>
      <c r="AC56" s="47"/>
      <c r="AD56" s="46"/>
      <c r="AE56" s="90" t="str">
        <f>IF(C56&lt;&gt;"",HYPERLINK(CONCATENATE(SheetName02,"\",Tools[[#This Row],[Manufacturer]],IF(Tools[[#This Row],[Model]]&lt;&gt;""," "&amp;Tools[[#This Row],[Model]],),".jpg"),CONCATENATE(Tools[[#This Row],[Manufacturer]],IF(Tools[[#This Row],[Model]]&lt;&gt;""," "&amp;Tools[[#This Row],[Model]],),".jpg")),"")</f>
        <v/>
      </c>
      <c r="AG56" s="5" t="str">
        <f t="shared" si="2"/>
        <v/>
      </c>
    </row>
    <row r="57" spans="2:33" x14ac:dyDescent="0.25">
      <c r="B57" s="80" t="str">
        <f t="shared" si="1"/>
        <v/>
      </c>
      <c r="C57" s="153"/>
      <c r="D57" s="153"/>
      <c r="E57" s="78"/>
      <c r="F57" s="47"/>
      <c r="G57" s="47"/>
      <c r="H57" s="47"/>
      <c r="I57" s="47"/>
      <c r="J57" s="47"/>
      <c r="K57" s="44"/>
      <c r="L57" s="47"/>
      <c r="M57" s="47"/>
      <c r="N57" s="47"/>
      <c r="O57" s="47"/>
      <c r="P57" s="78"/>
      <c r="Q57" s="46"/>
      <c r="R57" s="78"/>
      <c r="S57" s="47"/>
      <c r="T57" s="47"/>
      <c r="U57" s="111"/>
      <c r="V57" s="47"/>
      <c r="W57" s="47"/>
      <c r="X57" s="147"/>
      <c r="Y57" s="78"/>
      <c r="Z57" s="47"/>
      <c r="AA57" s="47"/>
      <c r="AB57" s="47"/>
      <c r="AC57" s="47"/>
      <c r="AD57" s="46"/>
      <c r="AE57" s="90" t="str">
        <f>IF(C57&lt;&gt;"",HYPERLINK(CONCATENATE(SheetName02,"\",Tools[[#This Row],[Manufacturer]],IF(Tools[[#This Row],[Model]]&lt;&gt;""," "&amp;Tools[[#This Row],[Model]],),".jpg"),CONCATENATE(Tools[[#This Row],[Manufacturer]],IF(Tools[[#This Row],[Model]]&lt;&gt;""," "&amp;Tools[[#This Row],[Model]],),".jpg")),"")</f>
        <v/>
      </c>
      <c r="AG57" s="5" t="str">
        <f t="shared" si="2"/>
        <v/>
      </c>
    </row>
    <row r="58" spans="2:33" x14ac:dyDescent="0.25">
      <c r="B58" s="80" t="str">
        <f t="shared" si="1"/>
        <v/>
      </c>
      <c r="C58" s="153"/>
      <c r="D58" s="153"/>
      <c r="E58" s="78"/>
      <c r="F58" s="47"/>
      <c r="G58" s="47"/>
      <c r="H58" s="47"/>
      <c r="I58" s="47"/>
      <c r="J58" s="47"/>
      <c r="K58" s="44"/>
      <c r="L58" s="47"/>
      <c r="M58" s="47"/>
      <c r="N58" s="47"/>
      <c r="O58" s="47"/>
      <c r="P58" s="78"/>
      <c r="Q58" s="46"/>
      <c r="R58" s="78"/>
      <c r="S58" s="47"/>
      <c r="T58" s="47"/>
      <c r="U58" s="111"/>
      <c r="V58" s="47"/>
      <c r="W58" s="47"/>
      <c r="X58" s="147"/>
      <c r="Y58" s="78"/>
      <c r="Z58" s="47"/>
      <c r="AA58" s="47"/>
      <c r="AB58" s="47"/>
      <c r="AC58" s="47"/>
      <c r="AD58" s="46"/>
      <c r="AE58" s="90" t="str">
        <f>IF(C58&lt;&gt;"",HYPERLINK(CONCATENATE(SheetName02,"\",Tools[[#This Row],[Manufacturer]],IF(Tools[[#This Row],[Model]]&lt;&gt;""," "&amp;Tools[[#This Row],[Model]],),".jpg"),CONCATENATE(Tools[[#This Row],[Manufacturer]],IF(Tools[[#This Row],[Model]]&lt;&gt;""," "&amp;Tools[[#This Row],[Model]],),".jpg")),"")</f>
        <v/>
      </c>
      <c r="AG58" s="5" t="str">
        <f t="shared" si="2"/>
        <v/>
      </c>
    </row>
    <row r="59" spans="2:33" x14ac:dyDescent="0.25">
      <c r="B59" s="80" t="str">
        <f t="shared" si="1"/>
        <v/>
      </c>
      <c r="C59" s="153"/>
      <c r="D59" s="153"/>
      <c r="E59" s="78"/>
      <c r="F59" s="47"/>
      <c r="G59" s="47"/>
      <c r="H59" s="47"/>
      <c r="I59" s="47"/>
      <c r="J59" s="47"/>
      <c r="K59" s="44"/>
      <c r="L59" s="47"/>
      <c r="M59" s="47"/>
      <c r="N59" s="47"/>
      <c r="O59" s="47"/>
      <c r="P59" s="78"/>
      <c r="Q59" s="46"/>
      <c r="R59" s="78"/>
      <c r="S59" s="47"/>
      <c r="T59" s="47"/>
      <c r="U59" s="111"/>
      <c r="V59" s="47"/>
      <c r="W59" s="47"/>
      <c r="X59" s="147"/>
      <c r="Y59" s="78"/>
      <c r="Z59" s="47"/>
      <c r="AA59" s="47"/>
      <c r="AB59" s="47"/>
      <c r="AC59" s="47"/>
      <c r="AD59" s="46"/>
      <c r="AE59" s="90" t="str">
        <f>IF(C59&lt;&gt;"",HYPERLINK(CONCATENATE(SheetName02,"\",Tools[[#This Row],[Manufacturer]],IF(Tools[[#This Row],[Model]]&lt;&gt;""," "&amp;Tools[[#This Row],[Model]],),".jpg"),CONCATENATE(Tools[[#This Row],[Manufacturer]],IF(Tools[[#This Row],[Model]]&lt;&gt;""," "&amp;Tools[[#This Row],[Model]],),".jpg")),"")</f>
        <v/>
      </c>
      <c r="AG59" s="5" t="str">
        <f t="shared" si="2"/>
        <v/>
      </c>
    </row>
    <row r="60" spans="2:33" x14ac:dyDescent="0.25">
      <c r="B60" s="80" t="str">
        <f t="shared" si="1"/>
        <v/>
      </c>
      <c r="C60" s="153"/>
      <c r="D60" s="153"/>
      <c r="E60" s="78"/>
      <c r="F60" s="47"/>
      <c r="G60" s="47"/>
      <c r="H60" s="47"/>
      <c r="I60" s="47"/>
      <c r="J60" s="47"/>
      <c r="K60" s="44"/>
      <c r="L60" s="47"/>
      <c r="M60" s="47"/>
      <c r="N60" s="47"/>
      <c r="O60" s="47"/>
      <c r="P60" s="78"/>
      <c r="Q60" s="46"/>
      <c r="R60" s="78"/>
      <c r="S60" s="47"/>
      <c r="T60" s="47"/>
      <c r="U60" s="111"/>
      <c r="V60" s="47"/>
      <c r="W60" s="47"/>
      <c r="X60" s="147"/>
      <c r="Y60" s="78"/>
      <c r="Z60" s="47"/>
      <c r="AA60" s="47"/>
      <c r="AB60" s="47"/>
      <c r="AC60" s="47"/>
      <c r="AD60" s="46"/>
      <c r="AE60" s="90" t="str">
        <f>IF(C60&lt;&gt;"",HYPERLINK(CONCATENATE(SheetName02,"\",Tools[[#This Row],[Manufacturer]],IF(Tools[[#This Row],[Model]]&lt;&gt;""," "&amp;Tools[[#This Row],[Model]],),".jpg"),CONCATENATE(Tools[[#This Row],[Manufacturer]],IF(Tools[[#This Row],[Model]]&lt;&gt;""," "&amp;Tools[[#This Row],[Model]],),".jpg")),"")</f>
        <v/>
      </c>
      <c r="AG60" s="5" t="str">
        <f t="shared" si="2"/>
        <v/>
      </c>
    </row>
    <row r="61" spans="2:33" x14ac:dyDescent="0.25">
      <c r="B61" s="80" t="str">
        <f t="shared" si="1"/>
        <v/>
      </c>
      <c r="C61" s="153"/>
      <c r="D61" s="153"/>
      <c r="E61" s="78"/>
      <c r="F61" s="47"/>
      <c r="G61" s="47"/>
      <c r="H61" s="47"/>
      <c r="I61" s="47"/>
      <c r="J61" s="47"/>
      <c r="K61" s="44"/>
      <c r="L61" s="47"/>
      <c r="M61" s="47"/>
      <c r="N61" s="47"/>
      <c r="O61" s="47"/>
      <c r="P61" s="78"/>
      <c r="Q61" s="46"/>
      <c r="R61" s="78"/>
      <c r="S61" s="47"/>
      <c r="T61" s="47"/>
      <c r="U61" s="111"/>
      <c r="V61" s="47"/>
      <c r="W61" s="47"/>
      <c r="X61" s="147"/>
      <c r="Y61" s="78"/>
      <c r="Z61" s="47"/>
      <c r="AA61" s="47"/>
      <c r="AB61" s="47"/>
      <c r="AC61" s="47"/>
      <c r="AD61" s="46"/>
      <c r="AE61" s="90" t="str">
        <f>IF(C61&lt;&gt;"",HYPERLINK(CONCATENATE(SheetName02,"\",Tools[[#This Row],[Manufacturer]],IF(Tools[[#This Row],[Model]]&lt;&gt;""," "&amp;Tools[[#This Row],[Model]],),".jpg"),CONCATENATE(Tools[[#This Row],[Manufacturer]],IF(Tools[[#This Row],[Model]]&lt;&gt;""," "&amp;Tools[[#This Row],[Model]],),".jpg")),"")</f>
        <v/>
      </c>
      <c r="AG61" s="5" t="str">
        <f t="shared" si="2"/>
        <v/>
      </c>
    </row>
    <row r="62" spans="2:33" x14ac:dyDescent="0.25">
      <c r="B62" s="80" t="str">
        <f t="shared" si="1"/>
        <v/>
      </c>
      <c r="C62" s="153"/>
      <c r="D62" s="153"/>
      <c r="E62" s="78"/>
      <c r="F62" s="47"/>
      <c r="G62" s="47"/>
      <c r="H62" s="47"/>
      <c r="I62" s="47"/>
      <c r="J62" s="47"/>
      <c r="K62" s="44"/>
      <c r="L62" s="47"/>
      <c r="M62" s="47"/>
      <c r="N62" s="47"/>
      <c r="O62" s="47"/>
      <c r="P62" s="78"/>
      <c r="Q62" s="46"/>
      <c r="R62" s="78"/>
      <c r="S62" s="47"/>
      <c r="T62" s="47"/>
      <c r="U62" s="111"/>
      <c r="V62" s="47"/>
      <c r="W62" s="47"/>
      <c r="X62" s="147"/>
      <c r="Y62" s="78"/>
      <c r="Z62" s="47"/>
      <c r="AA62" s="47"/>
      <c r="AB62" s="47"/>
      <c r="AC62" s="47"/>
      <c r="AD62" s="46"/>
      <c r="AE62" s="90" t="str">
        <f>IF(C62&lt;&gt;"",HYPERLINK(CONCATENATE(SheetName02,"\",Tools[[#This Row],[Manufacturer]],IF(Tools[[#This Row],[Model]]&lt;&gt;""," "&amp;Tools[[#This Row],[Model]],),".jpg"),CONCATENATE(Tools[[#This Row],[Manufacturer]],IF(Tools[[#This Row],[Model]]&lt;&gt;""," "&amp;Tools[[#This Row],[Model]],),".jpg")),"")</f>
        <v/>
      </c>
      <c r="AG62" s="5" t="str">
        <f t="shared" si="2"/>
        <v/>
      </c>
    </row>
    <row r="63" spans="2:33" x14ac:dyDescent="0.25">
      <c r="B63" s="80" t="str">
        <f t="shared" si="1"/>
        <v/>
      </c>
      <c r="C63" s="153"/>
      <c r="D63" s="153"/>
      <c r="E63" s="78"/>
      <c r="F63" s="47"/>
      <c r="G63" s="47"/>
      <c r="H63" s="47"/>
      <c r="I63" s="47"/>
      <c r="J63" s="47"/>
      <c r="K63" s="44"/>
      <c r="L63" s="47"/>
      <c r="M63" s="47"/>
      <c r="N63" s="47"/>
      <c r="O63" s="47"/>
      <c r="P63" s="78"/>
      <c r="Q63" s="46"/>
      <c r="R63" s="78"/>
      <c r="S63" s="47"/>
      <c r="T63" s="47"/>
      <c r="U63" s="111"/>
      <c r="V63" s="47"/>
      <c r="W63" s="47"/>
      <c r="X63" s="147"/>
      <c r="Y63" s="78"/>
      <c r="Z63" s="47"/>
      <c r="AA63" s="47"/>
      <c r="AB63" s="47"/>
      <c r="AC63" s="47"/>
      <c r="AD63" s="46"/>
      <c r="AE63" s="90" t="str">
        <f>IF(C63&lt;&gt;"",HYPERLINK(CONCATENATE(SheetName02,"\",Tools[[#This Row],[Manufacturer]],IF(Tools[[#This Row],[Model]]&lt;&gt;""," "&amp;Tools[[#This Row],[Model]],),".jpg"),CONCATENATE(Tools[[#This Row],[Manufacturer]],IF(Tools[[#This Row],[Model]]&lt;&gt;""," "&amp;Tools[[#This Row],[Model]],),".jpg")),"")</f>
        <v/>
      </c>
      <c r="AG63" s="5" t="str">
        <f t="shared" si="2"/>
        <v/>
      </c>
    </row>
    <row r="64" spans="2:33" x14ac:dyDescent="0.25">
      <c r="B64" s="80" t="str">
        <f t="shared" si="1"/>
        <v/>
      </c>
      <c r="C64" s="153"/>
      <c r="D64" s="153"/>
      <c r="E64" s="78"/>
      <c r="F64" s="47"/>
      <c r="G64" s="47"/>
      <c r="H64" s="47"/>
      <c r="I64" s="47"/>
      <c r="J64" s="47"/>
      <c r="K64" s="44"/>
      <c r="L64" s="47"/>
      <c r="M64" s="47"/>
      <c r="N64" s="47"/>
      <c r="O64" s="47"/>
      <c r="P64" s="78"/>
      <c r="Q64" s="46"/>
      <c r="R64" s="78"/>
      <c r="S64" s="47"/>
      <c r="T64" s="47"/>
      <c r="U64" s="111"/>
      <c r="V64" s="47"/>
      <c r="W64" s="47"/>
      <c r="X64" s="147"/>
      <c r="Y64" s="78"/>
      <c r="Z64" s="47"/>
      <c r="AA64" s="47"/>
      <c r="AB64" s="47"/>
      <c r="AC64" s="47"/>
      <c r="AD64" s="46"/>
      <c r="AE64" s="90" t="str">
        <f>IF(C64&lt;&gt;"",HYPERLINK(CONCATENATE(SheetName02,"\",Tools[[#This Row],[Manufacturer]],IF(Tools[[#This Row],[Model]]&lt;&gt;""," "&amp;Tools[[#This Row],[Model]],),".jpg"),CONCATENATE(Tools[[#This Row],[Manufacturer]],IF(Tools[[#This Row],[Model]]&lt;&gt;""," "&amp;Tools[[#This Row],[Model]],),".jpg")),"")</f>
        <v/>
      </c>
      <c r="AG64" s="5" t="str">
        <f t="shared" si="2"/>
        <v/>
      </c>
    </row>
    <row r="65" spans="2:33" x14ac:dyDescent="0.25">
      <c r="B65" s="80" t="str">
        <f t="shared" si="1"/>
        <v/>
      </c>
      <c r="C65" s="153"/>
      <c r="D65" s="153"/>
      <c r="E65" s="78"/>
      <c r="F65" s="47"/>
      <c r="G65" s="47"/>
      <c r="H65" s="47"/>
      <c r="I65" s="47"/>
      <c r="J65" s="47"/>
      <c r="K65" s="44"/>
      <c r="L65" s="47"/>
      <c r="M65" s="47"/>
      <c r="N65" s="47"/>
      <c r="O65" s="47"/>
      <c r="P65" s="78"/>
      <c r="Q65" s="46"/>
      <c r="R65" s="78"/>
      <c r="S65" s="47"/>
      <c r="T65" s="47"/>
      <c r="U65" s="111"/>
      <c r="V65" s="47"/>
      <c r="W65" s="47"/>
      <c r="X65" s="147"/>
      <c r="Y65" s="78"/>
      <c r="Z65" s="47"/>
      <c r="AA65" s="47"/>
      <c r="AB65" s="47"/>
      <c r="AC65" s="47"/>
      <c r="AD65" s="46"/>
      <c r="AE65" s="90" t="str">
        <f>IF(C65&lt;&gt;"",HYPERLINK(CONCATENATE(SheetName02,"\",Tools[[#This Row],[Manufacturer]],IF(Tools[[#This Row],[Model]]&lt;&gt;""," "&amp;Tools[[#This Row],[Model]],),".jpg"),CONCATENATE(Tools[[#This Row],[Manufacturer]],IF(Tools[[#This Row],[Model]]&lt;&gt;""," "&amp;Tools[[#This Row],[Model]],),".jpg")),"")</f>
        <v/>
      </c>
      <c r="AG65" s="5" t="str">
        <f t="shared" si="2"/>
        <v/>
      </c>
    </row>
    <row r="66" spans="2:33" x14ac:dyDescent="0.25">
      <c r="B66" s="80" t="str">
        <f t="shared" si="1"/>
        <v/>
      </c>
      <c r="C66" s="153"/>
      <c r="D66" s="153"/>
      <c r="E66" s="78"/>
      <c r="F66" s="47"/>
      <c r="G66" s="47"/>
      <c r="H66" s="47"/>
      <c r="I66" s="47"/>
      <c r="J66" s="47"/>
      <c r="K66" s="44"/>
      <c r="L66" s="47"/>
      <c r="M66" s="47"/>
      <c r="N66" s="47"/>
      <c r="O66" s="47"/>
      <c r="P66" s="78"/>
      <c r="Q66" s="46"/>
      <c r="R66" s="78"/>
      <c r="S66" s="47"/>
      <c r="T66" s="47"/>
      <c r="U66" s="111"/>
      <c r="V66" s="47"/>
      <c r="W66" s="47"/>
      <c r="X66" s="147"/>
      <c r="Y66" s="78"/>
      <c r="Z66" s="47"/>
      <c r="AA66" s="47"/>
      <c r="AB66" s="47"/>
      <c r="AC66" s="47"/>
      <c r="AD66" s="46"/>
      <c r="AE66" s="90" t="str">
        <f>IF(C66&lt;&gt;"",HYPERLINK(CONCATENATE(SheetName02,"\",Tools[[#This Row],[Manufacturer]],IF(Tools[[#This Row],[Model]]&lt;&gt;""," "&amp;Tools[[#This Row],[Model]],),".jpg"),CONCATENATE(Tools[[#This Row],[Manufacturer]],IF(Tools[[#This Row],[Model]]&lt;&gt;""," "&amp;Tools[[#This Row],[Model]],),".jpg")),"")</f>
        <v/>
      </c>
      <c r="AG66" s="5" t="str">
        <f t="shared" si="2"/>
        <v/>
      </c>
    </row>
    <row r="67" spans="2:33" x14ac:dyDescent="0.25">
      <c r="B67" s="80" t="str">
        <f t="shared" si="1"/>
        <v/>
      </c>
      <c r="C67" s="153"/>
      <c r="D67" s="153"/>
      <c r="E67" s="78"/>
      <c r="F67" s="47"/>
      <c r="G67" s="47"/>
      <c r="H67" s="47"/>
      <c r="I67" s="47"/>
      <c r="J67" s="47"/>
      <c r="K67" s="44"/>
      <c r="L67" s="47"/>
      <c r="M67" s="47"/>
      <c r="N67" s="47"/>
      <c r="O67" s="47"/>
      <c r="P67" s="78"/>
      <c r="Q67" s="46"/>
      <c r="R67" s="78"/>
      <c r="S67" s="47"/>
      <c r="T67" s="47"/>
      <c r="U67" s="111"/>
      <c r="V67" s="47"/>
      <c r="W67" s="47"/>
      <c r="X67" s="147"/>
      <c r="Y67" s="78"/>
      <c r="Z67" s="47"/>
      <c r="AA67" s="47"/>
      <c r="AB67" s="47"/>
      <c r="AC67" s="47"/>
      <c r="AD67" s="46"/>
      <c r="AE67" s="90" t="str">
        <f>IF(C67&lt;&gt;"",HYPERLINK(CONCATENATE(SheetName02,"\",Tools[[#This Row],[Manufacturer]],IF(Tools[[#This Row],[Model]]&lt;&gt;""," "&amp;Tools[[#This Row],[Model]],),".jpg"),CONCATENATE(Tools[[#This Row],[Manufacturer]],IF(Tools[[#This Row],[Model]]&lt;&gt;""," "&amp;Tools[[#This Row],[Model]],),".jpg")),"")</f>
        <v/>
      </c>
      <c r="AG67" s="5" t="str">
        <f t="shared" si="2"/>
        <v/>
      </c>
    </row>
    <row r="68" spans="2:33" x14ac:dyDescent="0.25">
      <c r="B68" s="80" t="str">
        <f t="shared" ref="B68:B131" si="3">IF(C68&lt;&gt;"",ROW(A65),"")</f>
        <v/>
      </c>
      <c r="C68" s="153"/>
      <c r="D68" s="153"/>
      <c r="E68" s="78"/>
      <c r="F68" s="47"/>
      <c r="G68" s="47"/>
      <c r="H68" s="47"/>
      <c r="I68" s="47"/>
      <c r="J68" s="47"/>
      <c r="K68" s="44"/>
      <c r="L68" s="47"/>
      <c r="M68" s="47"/>
      <c r="N68" s="47"/>
      <c r="O68" s="47"/>
      <c r="P68" s="78"/>
      <c r="Q68" s="46"/>
      <c r="R68" s="78"/>
      <c r="S68" s="47"/>
      <c r="T68" s="47"/>
      <c r="U68" s="111"/>
      <c r="V68" s="47"/>
      <c r="W68" s="47"/>
      <c r="X68" s="147"/>
      <c r="Y68" s="78"/>
      <c r="Z68" s="47"/>
      <c r="AA68" s="47"/>
      <c r="AB68" s="47"/>
      <c r="AC68" s="47"/>
      <c r="AD68" s="46"/>
      <c r="AE68" s="90" t="str">
        <f>IF(C68&lt;&gt;"",HYPERLINK(CONCATENATE(SheetName02,"\",Tools[[#This Row],[Manufacturer]],IF(Tools[[#This Row],[Model]]&lt;&gt;""," "&amp;Tools[[#This Row],[Model]],),".jpg"),CONCATENATE(Tools[[#This Row],[Manufacturer]],IF(Tools[[#This Row],[Model]]&lt;&gt;""," "&amp;Tools[[#This Row],[Model]],),".jpg")),"")</f>
        <v/>
      </c>
      <c r="AG68" s="5" t="str">
        <f t="shared" si="2"/>
        <v/>
      </c>
    </row>
    <row r="69" spans="2:33" x14ac:dyDescent="0.25">
      <c r="B69" s="80" t="str">
        <f t="shared" si="3"/>
        <v/>
      </c>
      <c r="C69" s="153"/>
      <c r="D69" s="153"/>
      <c r="E69" s="78"/>
      <c r="F69" s="47"/>
      <c r="G69" s="47"/>
      <c r="H69" s="47"/>
      <c r="I69" s="47"/>
      <c r="J69" s="47"/>
      <c r="K69" s="44"/>
      <c r="L69" s="47"/>
      <c r="M69" s="47"/>
      <c r="N69" s="47"/>
      <c r="O69" s="47"/>
      <c r="P69" s="78"/>
      <c r="Q69" s="46"/>
      <c r="R69" s="78"/>
      <c r="S69" s="47"/>
      <c r="T69" s="47"/>
      <c r="U69" s="111"/>
      <c r="V69" s="47"/>
      <c r="W69" s="47"/>
      <c r="X69" s="147"/>
      <c r="Y69" s="78"/>
      <c r="Z69" s="47"/>
      <c r="AA69" s="47"/>
      <c r="AB69" s="47"/>
      <c r="AC69" s="47"/>
      <c r="AD69" s="46"/>
      <c r="AE69" s="90" t="str">
        <f>IF(C69&lt;&gt;"",HYPERLINK(CONCATENATE(SheetName02,"\",Tools[[#This Row],[Manufacturer]],IF(Tools[[#This Row],[Model]]&lt;&gt;""," "&amp;Tools[[#This Row],[Model]],),".jpg"),CONCATENATE(Tools[[#This Row],[Manufacturer]],IF(Tools[[#This Row],[Model]]&lt;&gt;""," "&amp;Tools[[#This Row],[Model]],),".jpg")),"")</f>
        <v/>
      </c>
      <c r="AG69" s="5" t="str">
        <f t="shared" si="2"/>
        <v/>
      </c>
    </row>
    <row r="70" spans="2:33" x14ac:dyDescent="0.25">
      <c r="B70" s="80" t="str">
        <f t="shared" si="3"/>
        <v/>
      </c>
      <c r="C70" s="153"/>
      <c r="D70" s="153"/>
      <c r="E70" s="78"/>
      <c r="F70" s="47"/>
      <c r="G70" s="47"/>
      <c r="H70" s="47"/>
      <c r="I70" s="47"/>
      <c r="J70" s="47"/>
      <c r="K70" s="44"/>
      <c r="L70" s="47"/>
      <c r="M70" s="47"/>
      <c r="N70" s="47"/>
      <c r="O70" s="47"/>
      <c r="P70" s="78"/>
      <c r="Q70" s="46"/>
      <c r="R70" s="78"/>
      <c r="S70" s="47"/>
      <c r="T70" s="47"/>
      <c r="U70" s="111"/>
      <c r="V70" s="47"/>
      <c r="W70" s="47"/>
      <c r="X70" s="147"/>
      <c r="Y70" s="78"/>
      <c r="Z70" s="47"/>
      <c r="AA70" s="47"/>
      <c r="AB70" s="47"/>
      <c r="AC70" s="47"/>
      <c r="AD70" s="46"/>
      <c r="AE70" s="90" t="str">
        <f>IF(C70&lt;&gt;"",HYPERLINK(CONCATENATE(SheetName02,"\",Tools[[#This Row],[Manufacturer]],IF(Tools[[#This Row],[Model]]&lt;&gt;""," "&amp;Tools[[#This Row],[Model]],),".jpg"),CONCATENATE(Tools[[#This Row],[Manufacturer]],IF(Tools[[#This Row],[Model]]&lt;&gt;""," "&amp;Tools[[#This Row],[Model]],),".jpg")),"")</f>
        <v/>
      </c>
      <c r="AG70" s="5" t="str">
        <f t="shared" si="2"/>
        <v/>
      </c>
    </row>
    <row r="71" spans="2:33" x14ac:dyDescent="0.25">
      <c r="B71" s="80" t="str">
        <f t="shared" si="3"/>
        <v/>
      </c>
      <c r="C71" s="153"/>
      <c r="D71" s="153"/>
      <c r="E71" s="78"/>
      <c r="F71" s="47"/>
      <c r="G71" s="47"/>
      <c r="H71" s="47"/>
      <c r="I71" s="47"/>
      <c r="J71" s="47"/>
      <c r="K71" s="44"/>
      <c r="L71" s="47"/>
      <c r="M71" s="47"/>
      <c r="N71" s="47"/>
      <c r="O71" s="47"/>
      <c r="P71" s="78"/>
      <c r="Q71" s="46"/>
      <c r="R71" s="78"/>
      <c r="S71" s="47"/>
      <c r="T71" s="47"/>
      <c r="U71" s="111"/>
      <c r="V71" s="47"/>
      <c r="W71" s="47"/>
      <c r="X71" s="147"/>
      <c r="Y71" s="78"/>
      <c r="Z71" s="47"/>
      <c r="AA71" s="47"/>
      <c r="AB71" s="47"/>
      <c r="AC71" s="47"/>
      <c r="AD71" s="46"/>
      <c r="AE71" s="90" t="str">
        <f>IF(C71&lt;&gt;"",HYPERLINK(CONCATENATE(SheetName02,"\",Tools[[#This Row],[Manufacturer]],IF(Tools[[#This Row],[Model]]&lt;&gt;""," "&amp;Tools[[#This Row],[Model]],),".jpg"),CONCATENATE(Tools[[#This Row],[Manufacturer]],IF(Tools[[#This Row],[Model]]&lt;&gt;""," "&amp;Tools[[#This Row],[Model]],),".jpg")),"")</f>
        <v/>
      </c>
      <c r="AG71" s="5" t="str">
        <f t="shared" ref="AG71:AG134" si="4">IF(B71="","",(CONCATENATE(TEXT(B71,"000")," ",C71," ",D71)))</f>
        <v/>
      </c>
    </row>
    <row r="72" spans="2:33" x14ac:dyDescent="0.25">
      <c r="B72" s="80" t="str">
        <f t="shared" si="3"/>
        <v/>
      </c>
      <c r="C72" s="153"/>
      <c r="D72" s="153"/>
      <c r="E72" s="78"/>
      <c r="F72" s="47"/>
      <c r="G72" s="47"/>
      <c r="H72" s="47"/>
      <c r="I72" s="47"/>
      <c r="J72" s="47"/>
      <c r="K72" s="44"/>
      <c r="L72" s="47"/>
      <c r="M72" s="47"/>
      <c r="N72" s="47"/>
      <c r="O72" s="47"/>
      <c r="P72" s="78"/>
      <c r="Q72" s="46"/>
      <c r="R72" s="78"/>
      <c r="S72" s="47"/>
      <c r="T72" s="47"/>
      <c r="U72" s="111"/>
      <c r="V72" s="47"/>
      <c r="W72" s="47"/>
      <c r="X72" s="147"/>
      <c r="Y72" s="78"/>
      <c r="Z72" s="47"/>
      <c r="AA72" s="47"/>
      <c r="AB72" s="47"/>
      <c r="AC72" s="47"/>
      <c r="AD72" s="46"/>
      <c r="AE72" s="90" t="str">
        <f>IF(C72&lt;&gt;"",HYPERLINK(CONCATENATE(SheetName02,"\",Tools[[#This Row],[Manufacturer]],IF(Tools[[#This Row],[Model]]&lt;&gt;""," "&amp;Tools[[#This Row],[Model]],),".jpg"),CONCATENATE(Tools[[#This Row],[Manufacturer]],IF(Tools[[#This Row],[Model]]&lt;&gt;""," "&amp;Tools[[#This Row],[Model]],),".jpg")),"")</f>
        <v/>
      </c>
      <c r="AG72" s="5" t="str">
        <f t="shared" si="4"/>
        <v/>
      </c>
    </row>
    <row r="73" spans="2:33" x14ac:dyDescent="0.25">
      <c r="B73" s="80" t="str">
        <f t="shared" si="3"/>
        <v/>
      </c>
      <c r="C73" s="153"/>
      <c r="D73" s="153"/>
      <c r="E73" s="78"/>
      <c r="F73" s="47"/>
      <c r="G73" s="47"/>
      <c r="H73" s="47"/>
      <c r="I73" s="47"/>
      <c r="J73" s="47"/>
      <c r="K73" s="44"/>
      <c r="L73" s="47"/>
      <c r="M73" s="47"/>
      <c r="N73" s="47"/>
      <c r="O73" s="47"/>
      <c r="P73" s="78"/>
      <c r="Q73" s="46"/>
      <c r="R73" s="78"/>
      <c r="S73" s="47"/>
      <c r="T73" s="47"/>
      <c r="U73" s="111"/>
      <c r="V73" s="47"/>
      <c r="W73" s="47"/>
      <c r="X73" s="147"/>
      <c r="Y73" s="78"/>
      <c r="Z73" s="47"/>
      <c r="AA73" s="47"/>
      <c r="AB73" s="47"/>
      <c r="AC73" s="47"/>
      <c r="AD73" s="46"/>
      <c r="AE73" s="90" t="str">
        <f>IF(C73&lt;&gt;"",HYPERLINK(CONCATENATE(SheetName02,"\",Tools[[#This Row],[Manufacturer]],IF(Tools[[#This Row],[Model]]&lt;&gt;""," "&amp;Tools[[#This Row],[Model]],),".jpg"),CONCATENATE(Tools[[#This Row],[Manufacturer]],IF(Tools[[#This Row],[Model]]&lt;&gt;""," "&amp;Tools[[#This Row],[Model]],),".jpg")),"")</f>
        <v/>
      </c>
      <c r="AG73" s="5" t="str">
        <f t="shared" si="4"/>
        <v/>
      </c>
    </row>
    <row r="74" spans="2:33" x14ac:dyDescent="0.25">
      <c r="B74" s="80" t="str">
        <f t="shared" si="3"/>
        <v/>
      </c>
      <c r="C74" s="153"/>
      <c r="D74" s="153"/>
      <c r="E74" s="78"/>
      <c r="F74" s="47"/>
      <c r="G74" s="47"/>
      <c r="H74" s="47"/>
      <c r="I74" s="47"/>
      <c r="J74" s="47"/>
      <c r="K74" s="44"/>
      <c r="L74" s="47"/>
      <c r="M74" s="47"/>
      <c r="N74" s="47"/>
      <c r="O74" s="47"/>
      <c r="P74" s="78"/>
      <c r="Q74" s="46"/>
      <c r="R74" s="78"/>
      <c r="S74" s="47"/>
      <c r="T74" s="47"/>
      <c r="U74" s="111"/>
      <c r="V74" s="47"/>
      <c r="W74" s="47"/>
      <c r="X74" s="147"/>
      <c r="Y74" s="78"/>
      <c r="Z74" s="47"/>
      <c r="AA74" s="47"/>
      <c r="AB74" s="47"/>
      <c r="AC74" s="47"/>
      <c r="AD74" s="46"/>
      <c r="AE74" s="90" t="str">
        <f>IF(C74&lt;&gt;"",HYPERLINK(CONCATENATE(SheetName02,"\",Tools[[#This Row],[Manufacturer]],IF(Tools[[#This Row],[Model]]&lt;&gt;""," "&amp;Tools[[#This Row],[Model]],),".jpg"),CONCATENATE(Tools[[#This Row],[Manufacturer]],IF(Tools[[#This Row],[Model]]&lt;&gt;""," "&amp;Tools[[#This Row],[Model]],),".jpg")),"")</f>
        <v/>
      </c>
      <c r="AG74" s="5" t="str">
        <f t="shared" si="4"/>
        <v/>
      </c>
    </row>
    <row r="75" spans="2:33" x14ac:dyDescent="0.25">
      <c r="B75" s="80" t="str">
        <f t="shared" si="3"/>
        <v/>
      </c>
      <c r="C75" s="153"/>
      <c r="D75" s="153"/>
      <c r="E75" s="78"/>
      <c r="F75" s="47"/>
      <c r="G75" s="47"/>
      <c r="H75" s="47"/>
      <c r="I75" s="47"/>
      <c r="J75" s="47"/>
      <c r="K75" s="44"/>
      <c r="L75" s="47"/>
      <c r="M75" s="47"/>
      <c r="N75" s="47"/>
      <c r="O75" s="47"/>
      <c r="P75" s="78"/>
      <c r="Q75" s="46"/>
      <c r="R75" s="78"/>
      <c r="S75" s="47"/>
      <c r="T75" s="47"/>
      <c r="U75" s="111"/>
      <c r="V75" s="47"/>
      <c r="W75" s="47"/>
      <c r="X75" s="147"/>
      <c r="Y75" s="78"/>
      <c r="Z75" s="47"/>
      <c r="AA75" s="47"/>
      <c r="AB75" s="47"/>
      <c r="AC75" s="47"/>
      <c r="AD75" s="46"/>
      <c r="AE75" s="90" t="str">
        <f>IF(C75&lt;&gt;"",HYPERLINK(CONCATENATE(SheetName02,"\",Tools[[#This Row],[Manufacturer]],IF(Tools[[#This Row],[Model]]&lt;&gt;""," "&amp;Tools[[#This Row],[Model]],),".jpg"),CONCATENATE(Tools[[#This Row],[Manufacturer]],IF(Tools[[#This Row],[Model]]&lt;&gt;""," "&amp;Tools[[#This Row],[Model]],),".jpg")),"")</f>
        <v/>
      </c>
      <c r="AG75" s="5" t="str">
        <f t="shared" si="4"/>
        <v/>
      </c>
    </row>
    <row r="76" spans="2:33" x14ac:dyDescent="0.25">
      <c r="B76" s="80" t="str">
        <f t="shared" si="3"/>
        <v/>
      </c>
      <c r="C76" s="153"/>
      <c r="D76" s="153"/>
      <c r="E76" s="78"/>
      <c r="F76" s="47"/>
      <c r="G76" s="47"/>
      <c r="H76" s="47"/>
      <c r="I76" s="47"/>
      <c r="J76" s="47"/>
      <c r="K76" s="44"/>
      <c r="L76" s="47"/>
      <c r="M76" s="47"/>
      <c r="N76" s="47"/>
      <c r="O76" s="47"/>
      <c r="P76" s="78"/>
      <c r="Q76" s="46"/>
      <c r="R76" s="78"/>
      <c r="S76" s="47"/>
      <c r="T76" s="47"/>
      <c r="U76" s="111"/>
      <c r="V76" s="47"/>
      <c r="W76" s="47"/>
      <c r="X76" s="147"/>
      <c r="Y76" s="78"/>
      <c r="Z76" s="47"/>
      <c r="AA76" s="47"/>
      <c r="AB76" s="47"/>
      <c r="AC76" s="47"/>
      <c r="AD76" s="46"/>
      <c r="AE76" s="90" t="str">
        <f>IF(C76&lt;&gt;"",HYPERLINK(CONCATENATE(SheetName02,"\",Tools[[#This Row],[Manufacturer]],IF(Tools[[#This Row],[Model]]&lt;&gt;""," "&amp;Tools[[#This Row],[Model]],),".jpg"),CONCATENATE(Tools[[#This Row],[Manufacturer]],IF(Tools[[#This Row],[Model]]&lt;&gt;""," "&amp;Tools[[#This Row],[Model]],),".jpg")),"")</f>
        <v/>
      </c>
      <c r="AG76" s="5" t="str">
        <f t="shared" si="4"/>
        <v/>
      </c>
    </row>
    <row r="77" spans="2:33" x14ac:dyDescent="0.25">
      <c r="B77" s="80" t="str">
        <f t="shared" si="3"/>
        <v/>
      </c>
      <c r="C77" s="153"/>
      <c r="D77" s="153"/>
      <c r="E77" s="78"/>
      <c r="F77" s="47"/>
      <c r="G77" s="47"/>
      <c r="H77" s="47"/>
      <c r="I77" s="47"/>
      <c r="J77" s="47"/>
      <c r="K77" s="44"/>
      <c r="L77" s="47"/>
      <c r="M77" s="47"/>
      <c r="N77" s="47"/>
      <c r="O77" s="47"/>
      <c r="P77" s="78"/>
      <c r="Q77" s="46"/>
      <c r="R77" s="78"/>
      <c r="S77" s="47"/>
      <c r="T77" s="47"/>
      <c r="U77" s="111"/>
      <c r="V77" s="47"/>
      <c r="W77" s="47"/>
      <c r="X77" s="147"/>
      <c r="Y77" s="78"/>
      <c r="Z77" s="47"/>
      <c r="AA77" s="47"/>
      <c r="AB77" s="47"/>
      <c r="AC77" s="47"/>
      <c r="AD77" s="46"/>
      <c r="AE77" s="90" t="str">
        <f>IF(C77&lt;&gt;"",HYPERLINK(CONCATENATE(SheetName02,"\",Tools[[#This Row],[Manufacturer]],IF(Tools[[#This Row],[Model]]&lt;&gt;""," "&amp;Tools[[#This Row],[Model]],),".jpg"),CONCATENATE(Tools[[#This Row],[Manufacturer]],IF(Tools[[#This Row],[Model]]&lt;&gt;""," "&amp;Tools[[#This Row],[Model]],),".jpg")),"")</f>
        <v/>
      </c>
      <c r="AG77" s="5" t="str">
        <f t="shared" si="4"/>
        <v/>
      </c>
    </row>
    <row r="78" spans="2:33" x14ac:dyDescent="0.25">
      <c r="B78" s="80" t="str">
        <f t="shared" si="3"/>
        <v/>
      </c>
      <c r="C78" s="153"/>
      <c r="D78" s="153"/>
      <c r="E78" s="78"/>
      <c r="F78" s="47"/>
      <c r="G78" s="47"/>
      <c r="H78" s="47"/>
      <c r="I78" s="47"/>
      <c r="J78" s="47"/>
      <c r="K78" s="44"/>
      <c r="L78" s="47"/>
      <c r="M78" s="47"/>
      <c r="N78" s="47"/>
      <c r="O78" s="47"/>
      <c r="P78" s="78"/>
      <c r="Q78" s="46"/>
      <c r="R78" s="78"/>
      <c r="S78" s="47"/>
      <c r="T78" s="47"/>
      <c r="U78" s="111"/>
      <c r="V78" s="47"/>
      <c r="W78" s="47"/>
      <c r="X78" s="147"/>
      <c r="Y78" s="78"/>
      <c r="Z78" s="47"/>
      <c r="AA78" s="47"/>
      <c r="AB78" s="47"/>
      <c r="AC78" s="47"/>
      <c r="AD78" s="46"/>
      <c r="AE78" s="90" t="str">
        <f>IF(C78&lt;&gt;"",HYPERLINK(CONCATENATE(SheetName02,"\",Tools[[#This Row],[Manufacturer]],IF(Tools[[#This Row],[Model]]&lt;&gt;""," "&amp;Tools[[#This Row],[Model]],),".jpg"),CONCATENATE(Tools[[#This Row],[Manufacturer]],IF(Tools[[#This Row],[Model]]&lt;&gt;""," "&amp;Tools[[#This Row],[Model]],),".jpg")),"")</f>
        <v/>
      </c>
      <c r="AG78" s="5" t="str">
        <f t="shared" si="4"/>
        <v/>
      </c>
    </row>
    <row r="79" spans="2:33" x14ac:dyDescent="0.25">
      <c r="B79" s="80" t="str">
        <f t="shared" si="3"/>
        <v/>
      </c>
      <c r="C79" s="153"/>
      <c r="D79" s="153"/>
      <c r="E79" s="78"/>
      <c r="F79" s="47"/>
      <c r="G79" s="47"/>
      <c r="H79" s="47"/>
      <c r="I79" s="47"/>
      <c r="J79" s="47"/>
      <c r="K79" s="44"/>
      <c r="L79" s="47"/>
      <c r="M79" s="47"/>
      <c r="N79" s="47"/>
      <c r="O79" s="47"/>
      <c r="P79" s="78"/>
      <c r="Q79" s="46"/>
      <c r="R79" s="78"/>
      <c r="S79" s="47"/>
      <c r="T79" s="47"/>
      <c r="U79" s="111"/>
      <c r="V79" s="47"/>
      <c r="W79" s="47"/>
      <c r="X79" s="147"/>
      <c r="Y79" s="78"/>
      <c r="Z79" s="47"/>
      <c r="AA79" s="47"/>
      <c r="AB79" s="47"/>
      <c r="AC79" s="47"/>
      <c r="AD79" s="46"/>
      <c r="AE79" s="90" t="str">
        <f>IF(C79&lt;&gt;"",HYPERLINK(CONCATENATE(SheetName02,"\",Tools[[#This Row],[Manufacturer]],IF(Tools[[#This Row],[Model]]&lt;&gt;""," "&amp;Tools[[#This Row],[Model]],),".jpg"),CONCATENATE(Tools[[#This Row],[Manufacturer]],IF(Tools[[#This Row],[Model]]&lt;&gt;""," "&amp;Tools[[#This Row],[Model]],),".jpg")),"")</f>
        <v/>
      </c>
      <c r="AG79" s="5" t="str">
        <f t="shared" si="4"/>
        <v/>
      </c>
    </row>
    <row r="80" spans="2:33" x14ac:dyDescent="0.25">
      <c r="B80" s="80" t="str">
        <f t="shared" si="3"/>
        <v/>
      </c>
      <c r="C80" s="153"/>
      <c r="D80" s="153"/>
      <c r="E80" s="78"/>
      <c r="F80" s="47"/>
      <c r="G80" s="47"/>
      <c r="H80" s="47"/>
      <c r="I80" s="47"/>
      <c r="J80" s="47"/>
      <c r="K80" s="44"/>
      <c r="L80" s="47"/>
      <c r="M80" s="47"/>
      <c r="N80" s="47"/>
      <c r="O80" s="47"/>
      <c r="P80" s="78"/>
      <c r="Q80" s="46"/>
      <c r="R80" s="78"/>
      <c r="S80" s="47"/>
      <c r="T80" s="47"/>
      <c r="U80" s="111"/>
      <c r="V80" s="47"/>
      <c r="W80" s="47"/>
      <c r="X80" s="147"/>
      <c r="Y80" s="78"/>
      <c r="Z80" s="47"/>
      <c r="AA80" s="47"/>
      <c r="AB80" s="47"/>
      <c r="AC80" s="47"/>
      <c r="AD80" s="46"/>
      <c r="AE80" s="90" t="str">
        <f>IF(C80&lt;&gt;"",HYPERLINK(CONCATENATE(SheetName02,"\",Tools[[#This Row],[Manufacturer]],IF(Tools[[#This Row],[Model]]&lt;&gt;""," "&amp;Tools[[#This Row],[Model]],),".jpg"),CONCATENATE(Tools[[#This Row],[Manufacturer]],IF(Tools[[#This Row],[Model]]&lt;&gt;""," "&amp;Tools[[#This Row],[Model]],),".jpg")),"")</f>
        <v/>
      </c>
      <c r="AG80" s="5" t="str">
        <f t="shared" si="4"/>
        <v/>
      </c>
    </row>
    <row r="81" spans="2:33" x14ac:dyDescent="0.25">
      <c r="B81" s="80" t="str">
        <f t="shared" si="3"/>
        <v/>
      </c>
      <c r="C81" s="153"/>
      <c r="D81" s="153"/>
      <c r="E81" s="78"/>
      <c r="F81" s="47"/>
      <c r="G81" s="47"/>
      <c r="H81" s="47"/>
      <c r="I81" s="47"/>
      <c r="J81" s="47"/>
      <c r="K81" s="44"/>
      <c r="L81" s="47"/>
      <c r="M81" s="47"/>
      <c r="N81" s="47"/>
      <c r="O81" s="47"/>
      <c r="P81" s="78"/>
      <c r="Q81" s="46"/>
      <c r="R81" s="78"/>
      <c r="S81" s="47"/>
      <c r="T81" s="47"/>
      <c r="U81" s="111"/>
      <c r="V81" s="47"/>
      <c r="W81" s="47"/>
      <c r="X81" s="147"/>
      <c r="Y81" s="78"/>
      <c r="Z81" s="47"/>
      <c r="AA81" s="47"/>
      <c r="AB81" s="47"/>
      <c r="AC81" s="47"/>
      <c r="AD81" s="46"/>
      <c r="AE81" s="90" t="str">
        <f>IF(C81&lt;&gt;"",HYPERLINK(CONCATENATE(SheetName02,"\",Tools[[#This Row],[Manufacturer]],IF(Tools[[#This Row],[Model]]&lt;&gt;""," "&amp;Tools[[#This Row],[Model]],),".jpg"),CONCATENATE(Tools[[#This Row],[Manufacturer]],IF(Tools[[#This Row],[Model]]&lt;&gt;""," "&amp;Tools[[#This Row],[Model]],),".jpg")),"")</f>
        <v/>
      </c>
      <c r="AG81" s="5" t="str">
        <f t="shared" si="4"/>
        <v/>
      </c>
    </row>
    <row r="82" spans="2:33" x14ac:dyDescent="0.25">
      <c r="B82" s="80" t="str">
        <f t="shared" si="3"/>
        <v/>
      </c>
      <c r="C82" s="153"/>
      <c r="D82" s="153"/>
      <c r="E82" s="78"/>
      <c r="F82" s="47"/>
      <c r="G82" s="47"/>
      <c r="H82" s="47"/>
      <c r="I82" s="47"/>
      <c r="J82" s="47"/>
      <c r="K82" s="44"/>
      <c r="L82" s="47"/>
      <c r="M82" s="47"/>
      <c r="N82" s="47"/>
      <c r="O82" s="47"/>
      <c r="P82" s="78"/>
      <c r="Q82" s="46"/>
      <c r="R82" s="78"/>
      <c r="S82" s="47"/>
      <c r="T82" s="47"/>
      <c r="U82" s="111"/>
      <c r="V82" s="47"/>
      <c r="W82" s="47"/>
      <c r="X82" s="147"/>
      <c r="Y82" s="78"/>
      <c r="Z82" s="47"/>
      <c r="AA82" s="47"/>
      <c r="AB82" s="47"/>
      <c r="AC82" s="47"/>
      <c r="AD82" s="46"/>
      <c r="AE82" s="90" t="str">
        <f>IF(C82&lt;&gt;"",HYPERLINK(CONCATENATE(SheetName02,"\",Tools[[#This Row],[Manufacturer]],IF(Tools[[#This Row],[Model]]&lt;&gt;""," "&amp;Tools[[#This Row],[Model]],),".jpg"),CONCATENATE(Tools[[#This Row],[Manufacturer]],IF(Tools[[#This Row],[Model]]&lt;&gt;""," "&amp;Tools[[#This Row],[Model]],),".jpg")),"")</f>
        <v/>
      </c>
      <c r="AG82" s="5" t="str">
        <f t="shared" si="4"/>
        <v/>
      </c>
    </row>
    <row r="83" spans="2:33" x14ac:dyDescent="0.25">
      <c r="B83" s="80" t="str">
        <f t="shared" si="3"/>
        <v/>
      </c>
      <c r="C83" s="153"/>
      <c r="D83" s="153"/>
      <c r="E83" s="78"/>
      <c r="F83" s="47"/>
      <c r="G83" s="47"/>
      <c r="H83" s="47"/>
      <c r="I83" s="47"/>
      <c r="J83" s="47"/>
      <c r="K83" s="44"/>
      <c r="L83" s="47"/>
      <c r="M83" s="47"/>
      <c r="N83" s="47"/>
      <c r="O83" s="47"/>
      <c r="P83" s="78"/>
      <c r="Q83" s="46"/>
      <c r="R83" s="78"/>
      <c r="S83" s="47"/>
      <c r="T83" s="47"/>
      <c r="U83" s="111"/>
      <c r="V83" s="47"/>
      <c r="W83" s="47"/>
      <c r="X83" s="147"/>
      <c r="Y83" s="78"/>
      <c r="Z83" s="47"/>
      <c r="AA83" s="47"/>
      <c r="AB83" s="47"/>
      <c r="AC83" s="47"/>
      <c r="AD83" s="46"/>
      <c r="AE83" s="90" t="str">
        <f>IF(C83&lt;&gt;"",HYPERLINK(CONCATENATE(SheetName02,"\",Tools[[#This Row],[Manufacturer]],IF(Tools[[#This Row],[Model]]&lt;&gt;""," "&amp;Tools[[#This Row],[Model]],),".jpg"),CONCATENATE(Tools[[#This Row],[Manufacturer]],IF(Tools[[#This Row],[Model]]&lt;&gt;""," "&amp;Tools[[#This Row],[Model]],),".jpg")),"")</f>
        <v/>
      </c>
      <c r="AG83" s="5" t="str">
        <f t="shared" si="4"/>
        <v/>
      </c>
    </row>
    <row r="84" spans="2:33" x14ac:dyDescent="0.25">
      <c r="B84" s="80" t="str">
        <f t="shared" si="3"/>
        <v/>
      </c>
      <c r="C84" s="153"/>
      <c r="D84" s="153"/>
      <c r="E84" s="78"/>
      <c r="F84" s="47"/>
      <c r="G84" s="47"/>
      <c r="H84" s="47"/>
      <c r="I84" s="47"/>
      <c r="J84" s="47"/>
      <c r="K84" s="44"/>
      <c r="L84" s="47"/>
      <c r="M84" s="47"/>
      <c r="N84" s="47"/>
      <c r="O84" s="47"/>
      <c r="P84" s="78"/>
      <c r="Q84" s="46"/>
      <c r="R84" s="78"/>
      <c r="S84" s="47"/>
      <c r="T84" s="47"/>
      <c r="U84" s="111"/>
      <c r="V84" s="47"/>
      <c r="W84" s="47"/>
      <c r="X84" s="147"/>
      <c r="Y84" s="78"/>
      <c r="Z84" s="47"/>
      <c r="AA84" s="47"/>
      <c r="AB84" s="47"/>
      <c r="AC84" s="47"/>
      <c r="AD84" s="46"/>
      <c r="AE84" s="90" t="str">
        <f>IF(C84&lt;&gt;"",HYPERLINK(CONCATENATE(SheetName02,"\",Tools[[#This Row],[Manufacturer]],IF(Tools[[#This Row],[Model]]&lt;&gt;""," "&amp;Tools[[#This Row],[Model]],),".jpg"),CONCATENATE(Tools[[#This Row],[Manufacturer]],IF(Tools[[#This Row],[Model]]&lt;&gt;""," "&amp;Tools[[#This Row],[Model]],),".jpg")),"")</f>
        <v/>
      </c>
      <c r="AG84" s="5" t="str">
        <f t="shared" si="4"/>
        <v/>
      </c>
    </row>
    <row r="85" spans="2:33" x14ac:dyDescent="0.25">
      <c r="B85" s="80" t="str">
        <f t="shared" si="3"/>
        <v/>
      </c>
      <c r="C85" s="153"/>
      <c r="D85" s="153"/>
      <c r="E85" s="78"/>
      <c r="F85" s="47"/>
      <c r="G85" s="47"/>
      <c r="H85" s="47"/>
      <c r="I85" s="47"/>
      <c r="J85" s="47"/>
      <c r="K85" s="44"/>
      <c r="L85" s="47"/>
      <c r="M85" s="47"/>
      <c r="N85" s="47"/>
      <c r="O85" s="47"/>
      <c r="P85" s="78"/>
      <c r="Q85" s="46"/>
      <c r="R85" s="78"/>
      <c r="S85" s="47"/>
      <c r="T85" s="47"/>
      <c r="U85" s="111"/>
      <c r="V85" s="47"/>
      <c r="W85" s="47"/>
      <c r="X85" s="147"/>
      <c r="Y85" s="78"/>
      <c r="Z85" s="47"/>
      <c r="AA85" s="47"/>
      <c r="AB85" s="47"/>
      <c r="AC85" s="47"/>
      <c r="AD85" s="46"/>
      <c r="AE85" s="90" t="str">
        <f>IF(C85&lt;&gt;"",HYPERLINK(CONCATENATE(SheetName02,"\",Tools[[#This Row],[Manufacturer]],IF(Tools[[#This Row],[Model]]&lt;&gt;""," "&amp;Tools[[#This Row],[Model]],),".jpg"),CONCATENATE(Tools[[#This Row],[Manufacturer]],IF(Tools[[#This Row],[Model]]&lt;&gt;""," "&amp;Tools[[#This Row],[Model]],),".jpg")),"")</f>
        <v/>
      </c>
      <c r="AG85" s="5" t="str">
        <f t="shared" si="4"/>
        <v/>
      </c>
    </row>
    <row r="86" spans="2:33" x14ac:dyDescent="0.25">
      <c r="B86" s="80" t="str">
        <f t="shared" si="3"/>
        <v/>
      </c>
      <c r="C86" s="153"/>
      <c r="D86" s="153"/>
      <c r="E86" s="78"/>
      <c r="F86" s="47"/>
      <c r="G86" s="47"/>
      <c r="H86" s="47"/>
      <c r="I86" s="47"/>
      <c r="J86" s="47"/>
      <c r="K86" s="44"/>
      <c r="L86" s="47"/>
      <c r="M86" s="47"/>
      <c r="N86" s="47"/>
      <c r="O86" s="47"/>
      <c r="P86" s="78"/>
      <c r="Q86" s="46"/>
      <c r="R86" s="78"/>
      <c r="S86" s="47"/>
      <c r="T86" s="47"/>
      <c r="U86" s="111"/>
      <c r="V86" s="47"/>
      <c r="W86" s="47"/>
      <c r="X86" s="147"/>
      <c r="Y86" s="78"/>
      <c r="Z86" s="47"/>
      <c r="AA86" s="47"/>
      <c r="AB86" s="47"/>
      <c r="AC86" s="47"/>
      <c r="AD86" s="46"/>
      <c r="AE86" s="90" t="str">
        <f>IF(C86&lt;&gt;"",HYPERLINK(CONCATENATE(SheetName02,"\",Tools[[#This Row],[Manufacturer]],IF(Tools[[#This Row],[Model]]&lt;&gt;""," "&amp;Tools[[#This Row],[Model]],),".jpg"),CONCATENATE(Tools[[#This Row],[Manufacturer]],IF(Tools[[#This Row],[Model]]&lt;&gt;""," "&amp;Tools[[#This Row],[Model]],),".jpg")),"")</f>
        <v/>
      </c>
      <c r="AG86" s="5" t="str">
        <f t="shared" si="4"/>
        <v/>
      </c>
    </row>
    <row r="87" spans="2:33" x14ac:dyDescent="0.25">
      <c r="B87" s="80" t="str">
        <f t="shared" si="3"/>
        <v/>
      </c>
      <c r="C87" s="153"/>
      <c r="D87" s="153"/>
      <c r="E87" s="78"/>
      <c r="F87" s="47"/>
      <c r="G87" s="47"/>
      <c r="H87" s="47"/>
      <c r="I87" s="47"/>
      <c r="J87" s="47"/>
      <c r="K87" s="44"/>
      <c r="L87" s="47"/>
      <c r="M87" s="47"/>
      <c r="N87" s="47"/>
      <c r="O87" s="47"/>
      <c r="P87" s="78"/>
      <c r="Q87" s="46"/>
      <c r="R87" s="78"/>
      <c r="S87" s="47"/>
      <c r="T87" s="47"/>
      <c r="U87" s="111"/>
      <c r="V87" s="47"/>
      <c r="W87" s="47"/>
      <c r="X87" s="147"/>
      <c r="Y87" s="78"/>
      <c r="Z87" s="47"/>
      <c r="AA87" s="47"/>
      <c r="AB87" s="47"/>
      <c r="AC87" s="47"/>
      <c r="AD87" s="46"/>
      <c r="AE87" s="90" t="str">
        <f>IF(C87&lt;&gt;"",HYPERLINK(CONCATENATE(SheetName02,"\",Tools[[#This Row],[Manufacturer]],IF(Tools[[#This Row],[Model]]&lt;&gt;""," "&amp;Tools[[#This Row],[Model]],),".jpg"),CONCATENATE(Tools[[#This Row],[Manufacturer]],IF(Tools[[#This Row],[Model]]&lt;&gt;""," "&amp;Tools[[#This Row],[Model]],),".jpg")),"")</f>
        <v/>
      </c>
      <c r="AG87" s="5" t="str">
        <f t="shared" si="4"/>
        <v/>
      </c>
    </row>
    <row r="88" spans="2:33" x14ac:dyDescent="0.25">
      <c r="B88" s="80" t="str">
        <f t="shared" si="3"/>
        <v/>
      </c>
      <c r="C88" s="153"/>
      <c r="D88" s="153"/>
      <c r="E88" s="78"/>
      <c r="F88" s="47"/>
      <c r="G88" s="47"/>
      <c r="H88" s="47"/>
      <c r="I88" s="47"/>
      <c r="J88" s="47"/>
      <c r="K88" s="44"/>
      <c r="L88" s="47"/>
      <c r="M88" s="47"/>
      <c r="N88" s="47"/>
      <c r="O88" s="47"/>
      <c r="P88" s="78"/>
      <c r="Q88" s="46"/>
      <c r="R88" s="78"/>
      <c r="S88" s="47"/>
      <c r="T88" s="47"/>
      <c r="U88" s="111"/>
      <c r="V88" s="47"/>
      <c r="W88" s="47"/>
      <c r="X88" s="147"/>
      <c r="Y88" s="78"/>
      <c r="Z88" s="47"/>
      <c r="AA88" s="47"/>
      <c r="AB88" s="47"/>
      <c r="AC88" s="47"/>
      <c r="AD88" s="46"/>
      <c r="AE88" s="90" t="str">
        <f>IF(C88&lt;&gt;"",HYPERLINK(CONCATENATE(SheetName02,"\",Tools[[#This Row],[Manufacturer]],IF(Tools[[#This Row],[Model]]&lt;&gt;""," "&amp;Tools[[#This Row],[Model]],),".jpg"),CONCATENATE(Tools[[#This Row],[Manufacturer]],IF(Tools[[#This Row],[Model]]&lt;&gt;""," "&amp;Tools[[#This Row],[Model]],),".jpg")),"")</f>
        <v/>
      </c>
      <c r="AG88" s="5" t="str">
        <f t="shared" si="4"/>
        <v/>
      </c>
    </row>
    <row r="89" spans="2:33" x14ac:dyDescent="0.25">
      <c r="B89" s="80" t="str">
        <f t="shared" si="3"/>
        <v/>
      </c>
      <c r="C89" s="153"/>
      <c r="D89" s="153"/>
      <c r="E89" s="78"/>
      <c r="F89" s="47"/>
      <c r="G89" s="47"/>
      <c r="H89" s="47"/>
      <c r="I89" s="47"/>
      <c r="J89" s="47"/>
      <c r="K89" s="44"/>
      <c r="L89" s="47"/>
      <c r="M89" s="47"/>
      <c r="N89" s="47"/>
      <c r="O89" s="47"/>
      <c r="P89" s="78"/>
      <c r="Q89" s="46"/>
      <c r="R89" s="78"/>
      <c r="S89" s="47"/>
      <c r="T89" s="47"/>
      <c r="U89" s="111"/>
      <c r="V89" s="47"/>
      <c r="W89" s="47"/>
      <c r="X89" s="147"/>
      <c r="Y89" s="78"/>
      <c r="Z89" s="47"/>
      <c r="AA89" s="47"/>
      <c r="AB89" s="47"/>
      <c r="AC89" s="47"/>
      <c r="AD89" s="46"/>
      <c r="AE89" s="90" t="str">
        <f>IF(C89&lt;&gt;"",HYPERLINK(CONCATENATE(SheetName02,"\",Tools[[#This Row],[Manufacturer]],IF(Tools[[#This Row],[Model]]&lt;&gt;""," "&amp;Tools[[#This Row],[Model]],),".jpg"),CONCATENATE(Tools[[#This Row],[Manufacturer]],IF(Tools[[#This Row],[Model]]&lt;&gt;""," "&amp;Tools[[#This Row],[Model]],),".jpg")),"")</f>
        <v/>
      </c>
      <c r="AG89" s="5" t="str">
        <f t="shared" si="4"/>
        <v/>
      </c>
    </row>
    <row r="90" spans="2:33" x14ac:dyDescent="0.25">
      <c r="B90" s="80" t="str">
        <f t="shared" si="3"/>
        <v/>
      </c>
      <c r="C90" s="153"/>
      <c r="D90" s="153"/>
      <c r="E90" s="78"/>
      <c r="F90" s="47"/>
      <c r="G90" s="47"/>
      <c r="H90" s="47"/>
      <c r="I90" s="47"/>
      <c r="J90" s="47"/>
      <c r="K90" s="44"/>
      <c r="L90" s="47"/>
      <c r="M90" s="47"/>
      <c r="N90" s="47"/>
      <c r="O90" s="47"/>
      <c r="P90" s="78"/>
      <c r="Q90" s="46"/>
      <c r="R90" s="78"/>
      <c r="S90" s="47"/>
      <c r="T90" s="47"/>
      <c r="U90" s="111"/>
      <c r="V90" s="47"/>
      <c r="W90" s="47"/>
      <c r="X90" s="147"/>
      <c r="Y90" s="78"/>
      <c r="Z90" s="47"/>
      <c r="AA90" s="47"/>
      <c r="AB90" s="47"/>
      <c r="AC90" s="47"/>
      <c r="AD90" s="46"/>
      <c r="AE90" s="90" t="str">
        <f>IF(C90&lt;&gt;"",HYPERLINK(CONCATENATE(SheetName02,"\",Tools[[#This Row],[Manufacturer]],IF(Tools[[#This Row],[Model]]&lt;&gt;""," "&amp;Tools[[#This Row],[Model]],),".jpg"),CONCATENATE(Tools[[#This Row],[Manufacturer]],IF(Tools[[#This Row],[Model]]&lt;&gt;""," "&amp;Tools[[#This Row],[Model]],),".jpg")),"")</f>
        <v/>
      </c>
      <c r="AG90" s="5" t="str">
        <f t="shared" si="4"/>
        <v/>
      </c>
    </row>
    <row r="91" spans="2:33" x14ac:dyDescent="0.25">
      <c r="B91" s="80" t="str">
        <f t="shared" si="3"/>
        <v/>
      </c>
      <c r="C91" s="153"/>
      <c r="D91" s="153"/>
      <c r="E91" s="78"/>
      <c r="F91" s="47"/>
      <c r="G91" s="47"/>
      <c r="H91" s="47"/>
      <c r="I91" s="47"/>
      <c r="J91" s="47"/>
      <c r="K91" s="44"/>
      <c r="L91" s="47"/>
      <c r="M91" s="47"/>
      <c r="N91" s="47"/>
      <c r="O91" s="47"/>
      <c r="P91" s="78"/>
      <c r="Q91" s="46"/>
      <c r="R91" s="78"/>
      <c r="S91" s="47"/>
      <c r="T91" s="47"/>
      <c r="U91" s="111"/>
      <c r="V91" s="47"/>
      <c r="W91" s="47"/>
      <c r="X91" s="147"/>
      <c r="Y91" s="78"/>
      <c r="Z91" s="47"/>
      <c r="AA91" s="47"/>
      <c r="AB91" s="47"/>
      <c r="AC91" s="47"/>
      <c r="AD91" s="46"/>
      <c r="AE91" s="90" t="str">
        <f>IF(C91&lt;&gt;"",HYPERLINK(CONCATENATE(SheetName02,"\",Tools[[#This Row],[Manufacturer]],IF(Tools[[#This Row],[Model]]&lt;&gt;""," "&amp;Tools[[#This Row],[Model]],),".jpg"),CONCATENATE(Tools[[#This Row],[Manufacturer]],IF(Tools[[#This Row],[Model]]&lt;&gt;""," "&amp;Tools[[#This Row],[Model]],),".jpg")),"")</f>
        <v/>
      </c>
      <c r="AG91" s="5" t="str">
        <f t="shared" si="4"/>
        <v/>
      </c>
    </row>
    <row r="92" spans="2:33" x14ac:dyDescent="0.25">
      <c r="B92" s="80" t="str">
        <f t="shared" si="3"/>
        <v/>
      </c>
      <c r="C92" s="153"/>
      <c r="D92" s="153"/>
      <c r="E92" s="78"/>
      <c r="F92" s="47"/>
      <c r="G92" s="47"/>
      <c r="H92" s="47"/>
      <c r="I92" s="47"/>
      <c r="J92" s="47"/>
      <c r="K92" s="44"/>
      <c r="L92" s="47"/>
      <c r="M92" s="47"/>
      <c r="N92" s="47"/>
      <c r="O92" s="47"/>
      <c r="P92" s="78"/>
      <c r="Q92" s="46"/>
      <c r="R92" s="78"/>
      <c r="S92" s="47"/>
      <c r="T92" s="47"/>
      <c r="U92" s="111"/>
      <c r="V92" s="47"/>
      <c r="W92" s="47"/>
      <c r="X92" s="147"/>
      <c r="Y92" s="78"/>
      <c r="Z92" s="47"/>
      <c r="AA92" s="47"/>
      <c r="AB92" s="47"/>
      <c r="AC92" s="47"/>
      <c r="AD92" s="46"/>
      <c r="AE92" s="90" t="str">
        <f>IF(C92&lt;&gt;"",HYPERLINK(CONCATENATE(SheetName02,"\",Tools[[#This Row],[Manufacturer]],IF(Tools[[#This Row],[Model]]&lt;&gt;""," "&amp;Tools[[#This Row],[Model]],),".jpg"),CONCATENATE(Tools[[#This Row],[Manufacturer]],IF(Tools[[#This Row],[Model]]&lt;&gt;""," "&amp;Tools[[#This Row],[Model]],),".jpg")),"")</f>
        <v/>
      </c>
      <c r="AG92" s="5" t="str">
        <f t="shared" si="4"/>
        <v/>
      </c>
    </row>
    <row r="93" spans="2:33" x14ac:dyDescent="0.25">
      <c r="B93" s="80" t="str">
        <f t="shared" si="3"/>
        <v/>
      </c>
      <c r="C93" s="153"/>
      <c r="D93" s="153"/>
      <c r="E93" s="78"/>
      <c r="F93" s="47"/>
      <c r="G93" s="47"/>
      <c r="H93" s="47"/>
      <c r="I93" s="47"/>
      <c r="J93" s="47"/>
      <c r="K93" s="44"/>
      <c r="L93" s="47"/>
      <c r="M93" s="47"/>
      <c r="N93" s="47"/>
      <c r="O93" s="47"/>
      <c r="P93" s="78"/>
      <c r="Q93" s="46"/>
      <c r="R93" s="78"/>
      <c r="S93" s="47"/>
      <c r="T93" s="47"/>
      <c r="U93" s="111"/>
      <c r="V93" s="47"/>
      <c r="W93" s="47"/>
      <c r="X93" s="147"/>
      <c r="Y93" s="78"/>
      <c r="Z93" s="47"/>
      <c r="AA93" s="47"/>
      <c r="AB93" s="47"/>
      <c r="AC93" s="47"/>
      <c r="AD93" s="46"/>
      <c r="AE93" s="90" t="str">
        <f>IF(C93&lt;&gt;"",HYPERLINK(CONCATENATE(SheetName02,"\",Tools[[#This Row],[Manufacturer]],IF(Tools[[#This Row],[Model]]&lt;&gt;""," "&amp;Tools[[#This Row],[Model]],),".jpg"),CONCATENATE(Tools[[#This Row],[Manufacturer]],IF(Tools[[#This Row],[Model]]&lt;&gt;""," "&amp;Tools[[#This Row],[Model]],),".jpg")),"")</f>
        <v/>
      </c>
      <c r="AG93" s="5" t="str">
        <f t="shared" si="4"/>
        <v/>
      </c>
    </row>
    <row r="94" spans="2:33" x14ac:dyDescent="0.25">
      <c r="B94" s="80" t="str">
        <f t="shared" si="3"/>
        <v/>
      </c>
      <c r="C94" s="153"/>
      <c r="D94" s="153"/>
      <c r="E94" s="78"/>
      <c r="F94" s="47"/>
      <c r="G94" s="47"/>
      <c r="H94" s="47"/>
      <c r="I94" s="47"/>
      <c r="J94" s="47"/>
      <c r="K94" s="44"/>
      <c r="L94" s="47"/>
      <c r="M94" s="47"/>
      <c r="N94" s="47"/>
      <c r="O94" s="47"/>
      <c r="P94" s="78"/>
      <c r="Q94" s="46"/>
      <c r="R94" s="78"/>
      <c r="S94" s="47"/>
      <c r="T94" s="47"/>
      <c r="U94" s="111"/>
      <c r="V94" s="47"/>
      <c r="W94" s="47"/>
      <c r="X94" s="147"/>
      <c r="Y94" s="78"/>
      <c r="Z94" s="47"/>
      <c r="AA94" s="47"/>
      <c r="AB94" s="47"/>
      <c r="AC94" s="47"/>
      <c r="AD94" s="46"/>
      <c r="AE94" s="90" t="str">
        <f>IF(C94&lt;&gt;"",HYPERLINK(CONCATENATE(SheetName02,"\",Tools[[#This Row],[Manufacturer]],IF(Tools[[#This Row],[Model]]&lt;&gt;""," "&amp;Tools[[#This Row],[Model]],),".jpg"),CONCATENATE(Tools[[#This Row],[Manufacturer]],IF(Tools[[#This Row],[Model]]&lt;&gt;""," "&amp;Tools[[#This Row],[Model]],),".jpg")),"")</f>
        <v/>
      </c>
      <c r="AG94" s="5" t="str">
        <f t="shared" si="4"/>
        <v/>
      </c>
    </row>
    <row r="95" spans="2:33" x14ac:dyDescent="0.25">
      <c r="B95" s="80" t="str">
        <f t="shared" si="3"/>
        <v/>
      </c>
      <c r="C95" s="153"/>
      <c r="D95" s="153"/>
      <c r="E95" s="78"/>
      <c r="F95" s="47"/>
      <c r="G95" s="47"/>
      <c r="H95" s="47"/>
      <c r="I95" s="47"/>
      <c r="J95" s="47"/>
      <c r="K95" s="44"/>
      <c r="L95" s="47"/>
      <c r="M95" s="47"/>
      <c r="N95" s="47"/>
      <c r="O95" s="47"/>
      <c r="P95" s="78"/>
      <c r="Q95" s="46"/>
      <c r="R95" s="78"/>
      <c r="S95" s="47"/>
      <c r="T95" s="47"/>
      <c r="U95" s="111"/>
      <c r="V95" s="47"/>
      <c r="W95" s="47"/>
      <c r="X95" s="147"/>
      <c r="Y95" s="78"/>
      <c r="Z95" s="47"/>
      <c r="AA95" s="47"/>
      <c r="AB95" s="47"/>
      <c r="AC95" s="47"/>
      <c r="AD95" s="46"/>
      <c r="AE95" s="90" t="str">
        <f>IF(C95&lt;&gt;"",HYPERLINK(CONCATENATE(SheetName02,"\",Tools[[#This Row],[Manufacturer]],IF(Tools[[#This Row],[Model]]&lt;&gt;""," "&amp;Tools[[#This Row],[Model]],),".jpg"),CONCATENATE(Tools[[#This Row],[Manufacturer]],IF(Tools[[#This Row],[Model]]&lt;&gt;""," "&amp;Tools[[#This Row],[Model]],),".jpg")),"")</f>
        <v/>
      </c>
      <c r="AG95" s="5" t="str">
        <f t="shared" si="4"/>
        <v/>
      </c>
    </row>
    <row r="96" spans="2:33" x14ac:dyDescent="0.25">
      <c r="B96" s="80" t="str">
        <f t="shared" si="3"/>
        <v/>
      </c>
      <c r="C96" s="153"/>
      <c r="D96" s="153"/>
      <c r="E96" s="78"/>
      <c r="F96" s="47"/>
      <c r="G96" s="47"/>
      <c r="H96" s="47"/>
      <c r="I96" s="47"/>
      <c r="J96" s="47"/>
      <c r="K96" s="44"/>
      <c r="L96" s="47"/>
      <c r="M96" s="47"/>
      <c r="N96" s="47"/>
      <c r="O96" s="47"/>
      <c r="P96" s="78"/>
      <c r="Q96" s="46"/>
      <c r="R96" s="78"/>
      <c r="S96" s="47"/>
      <c r="T96" s="47"/>
      <c r="U96" s="111"/>
      <c r="V96" s="47"/>
      <c r="W96" s="47"/>
      <c r="X96" s="147"/>
      <c r="Y96" s="78"/>
      <c r="Z96" s="47"/>
      <c r="AA96" s="47"/>
      <c r="AB96" s="47"/>
      <c r="AC96" s="47"/>
      <c r="AD96" s="46"/>
      <c r="AE96" s="90" t="str">
        <f>IF(C96&lt;&gt;"",HYPERLINK(CONCATENATE(SheetName02,"\",Tools[[#This Row],[Manufacturer]],IF(Tools[[#This Row],[Model]]&lt;&gt;""," "&amp;Tools[[#This Row],[Model]],),".jpg"),CONCATENATE(Tools[[#This Row],[Manufacturer]],IF(Tools[[#This Row],[Model]]&lt;&gt;""," "&amp;Tools[[#This Row],[Model]],),".jpg")),"")</f>
        <v/>
      </c>
      <c r="AG96" s="5" t="str">
        <f t="shared" si="4"/>
        <v/>
      </c>
    </row>
    <row r="97" spans="2:33" x14ac:dyDescent="0.25">
      <c r="B97" s="80" t="str">
        <f t="shared" si="3"/>
        <v/>
      </c>
      <c r="C97" s="153"/>
      <c r="D97" s="153"/>
      <c r="E97" s="78"/>
      <c r="F97" s="47"/>
      <c r="G97" s="47"/>
      <c r="H97" s="47"/>
      <c r="I97" s="47"/>
      <c r="J97" s="47"/>
      <c r="K97" s="44"/>
      <c r="L97" s="47"/>
      <c r="M97" s="47"/>
      <c r="N97" s="47"/>
      <c r="O97" s="47"/>
      <c r="P97" s="78"/>
      <c r="Q97" s="46"/>
      <c r="R97" s="78"/>
      <c r="S97" s="47"/>
      <c r="T97" s="47"/>
      <c r="U97" s="111"/>
      <c r="V97" s="47"/>
      <c r="W97" s="47"/>
      <c r="X97" s="147"/>
      <c r="Y97" s="78"/>
      <c r="Z97" s="47"/>
      <c r="AA97" s="47"/>
      <c r="AB97" s="47"/>
      <c r="AC97" s="47"/>
      <c r="AD97" s="46"/>
      <c r="AE97" s="90" t="str">
        <f>IF(C97&lt;&gt;"",HYPERLINK(CONCATENATE(SheetName02,"\",Tools[[#This Row],[Manufacturer]],IF(Tools[[#This Row],[Model]]&lt;&gt;""," "&amp;Tools[[#This Row],[Model]],),".jpg"),CONCATENATE(Tools[[#This Row],[Manufacturer]],IF(Tools[[#This Row],[Model]]&lt;&gt;""," "&amp;Tools[[#This Row],[Model]],),".jpg")),"")</f>
        <v/>
      </c>
      <c r="AG97" s="5" t="str">
        <f t="shared" si="4"/>
        <v/>
      </c>
    </row>
    <row r="98" spans="2:33" x14ac:dyDescent="0.25">
      <c r="B98" s="80" t="str">
        <f t="shared" si="3"/>
        <v/>
      </c>
      <c r="C98" s="153"/>
      <c r="D98" s="153"/>
      <c r="E98" s="78"/>
      <c r="F98" s="47"/>
      <c r="G98" s="47"/>
      <c r="H98" s="47"/>
      <c r="I98" s="47"/>
      <c r="J98" s="47"/>
      <c r="K98" s="44"/>
      <c r="L98" s="47"/>
      <c r="M98" s="47"/>
      <c r="N98" s="47"/>
      <c r="O98" s="47"/>
      <c r="P98" s="78"/>
      <c r="Q98" s="46"/>
      <c r="R98" s="78"/>
      <c r="S98" s="47"/>
      <c r="T98" s="47"/>
      <c r="U98" s="111"/>
      <c r="V98" s="47"/>
      <c r="W98" s="47"/>
      <c r="X98" s="147"/>
      <c r="Y98" s="78"/>
      <c r="Z98" s="47"/>
      <c r="AA98" s="47"/>
      <c r="AB98" s="47"/>
      <c r="AC98" s="47"/>
      <c r="AD98" s="46"/>
      <c r="AE98" s="90" t="str">
        <f>IF(C98&lt;&gt;"",HYPERLINK(CONCATENATE(SheetName02,"\",Tools[[#This Row],[Manufacturer]],IF(Tools[[#This Row],[Model]]&lt;&gt;""," "&amp;Tools[[#This Row],[Model]],),".jpg"),CONCATENATE(Tools[[#This Row],[Manufacturer]],IF(Tools[[#This Row],[Model]]&lt;&gt;""," "&amp;Tools[[#This Row],[Model]],),".jpg")),"")</f>
        <v/>
      </c>
      <c r="AG98" s="5" t="str">
        <f t="shared" si="4"/>
        <v/>
      </c>
    </row>
    <row r="99" spans="2:33" x14ac:dyDescent="0.25">
      <c r="B99" s="80" t="str">
        <f t="shared" si="3"/>
        <v/>
      </c>
      <c r="C99" s="153"/>
      <c r="D99" s="153"/>
      <c r="E99" s="78"/>
      <c r="F99" s="47"/>
      <c r="G99" s="47"/>
      <c r="H99" s="47"/>
      <c r="I99" s="47"/>
      <c r="J99" s="47"/>
      <c r="K99" s="44"/>
      <c r="L99" s="47"/>
      <c r="M99" s="47"/>
      <c r="N99" s="47"/>
      <c r="O99" s="47"/>
      <c r="P99" s="78"/>
      <c r="Q99" s="46"/>
      <c r="R99" s="78"/>
      <c r="S99" s="47"/>
      <c r="T99" s="47"/>
      <c r="U99" s="111"/>
      <c r="V99" s="47"/>
      <c r="W99" s="47"/>
      <c r="X99" s="147"/>
      <c r="Y99" s="78"/>
      <c r="Z99" s="47"/>
      <c r="AA99" s="47"/>
      <c r="AB99" s="47"/>
      <c r="AC99" s="47"/>
      <c r="AD99" s="46"/>
      <c r="AE99" s="90" t="str">
        <f>IF(C99&lt;&gt;"",HYPERLINK(CONCATENATE(SheetName02,"\",Tools[[#This Row],[Manufacturer]],IF(Tools[[#This Row],[Model]]&lt;&gt;""," "&amp;Tools[[#This Row],[Model]],),".jpg"),CONCATENATE(Tools[[#This Row],[Manufacturer]],IF(Tools[[#This Row],[Model]]&lt;&gt;""," "&amp;Tools[[#This Row],[Model]],),".jpg")),"")</f>
        <v/>
      </c>
      <c r="AG99" s="5" t="str">
        <f t="shared" si="4"/>
        <v/>
      </c>
    </row>
    <row r="100" spans="2:33" x14ac:dyDescent="0.25">
      <c r="B100" s="80" t="str">
        <f t="shared" si="3"/>
        <v/>
      </c>
      <c r="C100" s="153"/>
      <c r="D100" s="153"/>
      <c r="E100" s="78"/>
      <c r="F100" s="47"/>
      <c r="G100" s="47"/>
      <c r="H100" s="47"/>
      <c r="I100" s="47"/>
      <c r="J100" s="47"/>
      <c r="K100" s="44"/>
      <c r="L100" s="47"/>
      <c r="M100" s="47"/>
      <c r="N100" s="47"/>
      <c r="O100" s="47"/>
      <c r="P100" s="78"/>
      <c r="Q100" s="46"/>
      <c r="R100" s="78"/>
      <c r="S100" s="47"/>
      <c r="T100" s="47"/>
      <c r="U100" s="111"/>
      <c r="V100" s="47"/>
      <c r="W100" s="47"/>
      <c r="X100" s="147"/>
      <c r="Y100" s="78"/>
      <c r="Z100" s="47"/>
      <c r="AA100" s="47"/>
      <c r="AB100" s="47"/>
      <c r="AC100" s="47"/>
      <c r="AD100" s="46"/>
      <c r="AE100" s="90" t="str">
        <f>IF(C100&lt;&gt;"",HYPERLINK(CONCATENATE(SheetName02,"\",Tools[[#This Row],[Manufacturer]],IF(Tools[[#This Row],[Model]]&lt;&gt;""," "&amp;Tools[[#This Row],[Model]],),".jpg"),CONCATENATE(Tools[[#This Row],[Manufacturer]],IF(Tools[[#This Row],[Model]]&lt;&gt;""," "&amp;Tools[[#This Row],[Model]],),".jpg")),"")</f>
        <v/>
      </c>
      <c r="AG100" s="5" t="str">
        <f t="shared" si="4"/>
        <v/>
      </c>
    </row>
    <row r="101" spans="2:33" x14ac:dyDescent="0.25">
      <c r="B101" s="80" t="str">
        <f t="shared" si="3"/>
        <v/>
      </c>
      <c r="C101" s="153"/>
      <c r="D101" s="153"/>
      <c r="E101" s="78"/>
      <c r="F101" s="47"/>
      <c r="G101" s="47"/>
      <c r="H101" s="47"/>
      <c r="I101" s="47"/>
      <c r="J101" s="47"/>
      <c r="K101" s="44"/>
      <c r="L101" s="47"/>
      <c r="M101" s="47"/>
      <c r="N101" s="47"/>
      <c r="O101" s="47"/>
      <c r="P101" s="78"/>
      <c r="Q101" s="46"/>
      <c r="R101" s="78"/>
      <c r="S101" s="47"/>
      <c r="T101" s="47"/>
      <c r="U101" s="111"/>
      <c r="V101" s="47"/>
      <c r="W101" s="47"/>
      <c r="X101" s="147"/>
      <c r="Y101" s="78"/>
      <c r="Z101" s="47"/>
      <c r="AA101" s="47"/>
      <c r="AB101" s="47"/>
      <c r="AC101" s="47"/>
      <c r="AD101" s="46"/>
      <c r="AE101" s="90" t="str">
        <f>IF(C101&lt;&gt;"",HYPERLINK(CONCATENATE(SheetName02,"\",Tools[[#This Row],[Manufacturer]],IF(Tools[[#This Row],[Model]]&lt;&gt;""," "&amp;Tools[[#This Row],[Model]],),".jpg"),CONCATENATE(Tools[[#This Row],[Manufacturer]],IF(Tools[[#This Row],[Model]]&lt;&gt;""," "&amp;Tools[[#This Row],[Model]],),".jpg")),"")</f>
        <v/>
      </c>
      <c r="AG101" s="5" t="str">
        <f t="shared" si="4"/>
        <v/>
      </c>
    </row>
    <row r="102" spans="2:33" x14ac:dyDescent="0.25">
      <c r="B102" s="80" t="str">
        <f t="shared" si="3"/>
        <v/>
      </c>
      <c r="C102" s="153"/>
      <c r="D102" s="153"/>
      <c r="E102" s="78"/>
      <c r="F102" s="47"/>
      <c r="G102" s="47"/>
      <c r="H102" s="47"/>
      <c r="I102" s="47"/>
      <c r="J102" s="47"/>
      <c r="K102" s="44"/>
      <c r="L102" s="47"/>
      <c r="M102" s="47"/>
      <c r="N102" s="47"/>
      <c r="O102" s="47"/>
      <c r="P102" s="78"/>
      <c r="Q102" s="46"/>
      <c r="R102" s="78"/>
      <c r="S102" s="47"/>
      <c r="T102" s="47"/>
      <c r="U102" s="111"/>
      <c r="V102" s="47"/>
      <c r="W102" s="47"/>
      <c r="X102" s="147"/>
      <c r="Y102" s="78"/>
      <c r="Z102" s="47"/>
      <c r="AA102" s="47"/>
      <c r="AB102" s="47"/>
      <c r="AC102" s="47"/>
      <c r="AD102" s="46"/>
      <c r="AE102" s="90" t="str">
        <f>IF(C102&lt;&gt;"",HYPERLINK(CONCATENATE(SheetName02,"\",Tools[[#This Row],[Manufacturer]],IF(Tools[[#This Row],[Model]]&lt;&gt;""," "&amp;Tools[[#This Row],[Model]],),".jpg"),CONCATENATE(Tools[[#This Row],[Manufacturer]],IF(Tools[[#This Row],[Model]]&lt;&gt;""," "&amp;Tools[[#This Row],[Model]],),".jpg")),"")</f>
        <v/>
      </c>
      <c r="AG102" s="5" t="str">
        <f t="shared" si="4"/>
        <v/>
      </c>
    </row>
    <row r="103" spans="2:33" x14ac:dyDescent="0.25">
      <c r="B103" s="80" t="str">
        <f t="shared" si="3"/>
        <v/>
      </c>
      <c r="C103" s="153"/>
      <c r="D103" s="153"/>
      <c r="E103" s="78"/>
      <c r="F103" s="47"/>
      <c r="G103" s="47"/>
      <c r="H103" s="47"/>
      <c r="I103" s="47"/>
      <c r="J103" s="47"/>
      <c r="K103" s="44"/>
      <c r="L103" s="47"/>
      <c r="M103" s="47"/>
      <c r="N103" s="47"/>
      <c r="O103" s="47"/>
      <c r="P103" s="78"/>
      <c r="Q103" s="46"/>
      <c r="R103" s="78"/>
      <c r="S103" s="47"/>
      <c r="T103" s="47"/>
      <c r="U103" s="111"/>
      <c r="V103" s="47"/>
      <c r="W103" s="47"/>
      <c r="X103" s="147"/>
      <c r="Y103" s="78"/>
      <c r="Z103" s="47"/>
      <c r="AA103" s="47"/>
      <c r="AB103" s="47"/>
      <c r="AC103" s="47"/>
      <c r="AD103" s="46"/>
      <c r="AE103" s="90" t="str">
        <f>IF(C103&lt;&gt;"",HYPERLINK(CONCATENATE(SheetName02,"\",Tools[[#This Row],[Manufacturer]],IF(Tools[[#This Row],[Model]]&lt;&gt;""," "&amp;Tools[[#This Row],[Model]],),".jpg"),CONCATENATE(Tools[[#This Row],[Manufacturer]],IF(Tools[[#This Row],[Model]]&lt;&gt;""," "&amp;Tools[[#This Row],[Model]],),".jpg")),"")</f>
        <v/>
      </c>
      <c r="AG103" s="5" t="str">
        <f t="shared" si="4"/>
        <v/>
      </c>
    </row>
    <row r="104" spans="2:33" x14ac:dyDescent="0.25">
      <c r="B104" s="80" t="str">
        <f t="shared" si="3"/>
        <v/>
      </c>
      <c r="C104" s="153"/>
      <c r="D104" s="153"/>
      <c r="E104" s="78"/>
      <c r="F104" s="47"/>
      <c r="G104" s="47"/>
      <c r="H104" s="47"/>
      <c r="I104" s="47"/>
      <c r="J104" s="47"/>
      <c r="K104" s="44"/>
      <c r="L104" s="47"/>
      <c r="M104" s="47"/>
      <c r="N104" s="47"/>
      <c r="O104" s="47"/>
      <c r="P104" s="78"/>
      <c r="Q104" s="46"/>
      <c r="R104" s="78"/>
      <c r="S104" s="47"/>
      <c r="T104" s="47"/>
      <c r="U104" s="111"/>
      <c r="V104" s="47"/>
      <c r="W104" s="47"/>
      <c r="X104" s="147"/>
      <c r="Y104" s="78"/>
      <c r="Z104" s="47"/>
      <c r="AA104" s="47"/>
      <c r="AB104" s="47"/>
      <c r="AC104" s="47"/>
      <c r="AD104" s="46"/>
      <c r="AE104" s="90" t="str">
        <f>IF(C104&lt;&gt;"",HYPERLINK(CONCATENATE(SheetName02,"\",Tools[[#This Row],[Manufacturer]],IF(Tools[[#This Row],[Model]]&lt;&gt;""," "&amp;Tools[[#This Row],[Model]],),".jpg"),CONCATENATE(Tools[[#This Row],[Manufacturer]],IF(Tools[[#This Row],[Model]]&lt;&gt;""," "&amp;Tools[[#This Row],[Model]],),".jpg")),"")</f>
        <v/>
      </c>
      <c r="AG104" s="5" t="str">
        <f t="shared" si="4"/>
        <v/>
      </c>
    </row>
    <row r="105" spans="2:33" x14ac:dyDescent="0.25">
      <c r="B105" s="80" t="str">
        <f t="shared" si="3"/>
        <v/>
      </c>
      <c r="C105" s="153"/>
      <c r="D105" s="153"/>
      <c r="E105" s="78"/>
      <c r="F105" s="47"/>
      <c r="G105" s="47"/>
      <c r="H105" s="47"/>
      <c r="I105" s="47"/>
      <c r="J105" s="47"/>
      <c r="K105" s="44"/>
      <c r="L105" s="47"/>
      <c r="M105" s="47"/>
      <c r="N105" s="47"/>
      <c r="O105" s="47"/>
      <c r="P105" s="78"/>
      <c r="Q105" s="46"/>
      <c r="R105" s="78"/>
      <c r="S105" s="47"/>
      <c r="T105" s="47"/>
      <c r="U105" s="111"/>
      <c r="V105" s="47"/>
      <c r="W105" s="47"/>
      <c r="X105" s="147"/>
      <c r="Y105" s="78"/>
      <c r="Z105" s="47"/>
      <c r="AA105" s="47"/>
      <c r="AB105" s="47"/>
      <c r="AC105" s="47"/>
      <c r="AD105" s="46"/>
      <c r="AE105" s="90" t="str">
        <f>IF(C105&lt;&gt;"",HYPERLINK(CONCATENATE(SheetName02,"\",Tools[[#This Row],[Manufacturer]],IF(Tools[[#This Row],[Model]]&lt;&gt;""," "&amp;Tools[[#This Row],[Model]],),".jpg"),CONCATENATE(Tools[[#This Row],[Manufacturer]],IF(Tools[[#This Row],[Model]]&lt;&gt;""," "&amp;Tools[[#This Row],[Model]],),".jpg")),"")</f>
        <v/>
      </c>
      <c r="AG105" s="5" t="str">
        <f t="shared" si="4"/>
        <v/>
      </c>
    </row>
    <row r="106" spans="2:33" x14ac:dyDescent="0.25">
      <c r="B106" s="80" t="str">
        <f t="shared" si="3"/>
        <v/>
      </c>
      <c r="C106" s="153"/>
      <c r="D106" s="153"/>
      <c r="E106" s="78"/>
      <c r="F106" s="47"/>
      <c r="G106" s="47"/>
      <c r="H106" s="47"/>
      <c r="I106" s="47"/>
      <c r="J106" s="47"/>
      <c r="K106" s="44"/>
      <c r="L106" s="47"/>
      <c r="M106" s="47"/>
      <c r="N106" s="47"/>
      <c r="O106" s="47"/>
      <c r="P106" s="78"/>
      <c r="Q106" s="46"/>
      <c r="R106" s="78"/>
      <c r="S106" s="47"/>
      <c r="T106" s="47"/>
      <c r="U106" s="111"/>
      <c r="V106" s="47"/>
      <c r="W106" s="47"/>
      <c r="X106" s="147"/>
      <c r="Y106" s="78"/>
      <c r="Z106" s="47"/>
      <c r="AA106" s="47"/>
      <c r="AB106" s="47"/>
      <c r="AC106" s="47"/>
      <c r="AD106" s="46"/>
      <c r="AE106" s="90" t="str">
        <f>IF(C106&lt;&gt;"",HYPERLINK(CONCATENATE(SheetName02,"\",Tools[[#This Row],[Manufacturer]],IF(Tools[[#This Row],[Model]]&lt;&gt;""," "&amp;Tools[[#This Row],[Model]],),".jpg"),CONCATENATE(Tools[[#This Row],[Manufacturer]],IF(Tools[[#This Row],[Model]]&lt;&gt;""," "&amp;Tools[[#This Row],[Model]],),".jpg")),"")</f>
        <v/>
      </c>
      <c r="AG106" s="5" t="str">
        <f t="shared" si="4"/>
        <v/>
      </c>
    </row>
    <row r="107" spans="2:33" x14ac:dyDescent="0.25">
      <c r="B107" s="80" t="str">
        <f t="shared" si="3"/>
        <v/>
      </c>
      <c r="C107" s="153"/>
      <c r="D107" s="153"/>
      <c r="E107" s="78"/>
      <c r="F107" s="47"/>
      <c r="G107" s="47"/>
      <c r="H107" s="47"/>
      <c r="I107" s="47"/>
      <c r="J107" s="47"/>
      <c r="K107" s="44"/>
      <c r="L107" s="47"/>
      <c r="M107" s="47"/>
      <c r="N107" s="47"/>
      <c r="O107" s="47"/>
      <c r="P107" s="78"/>
      <c r="Q107" s="46"/>
      <c r="R107" s="78"/>
      <c r="S107" s="47"/>
      <c r="T107" s="47"/>
      <c r="U107" s="111"/>
      <c r="V107" s="47"/>
      <c r="W107" s="47"/>
      <c r="X107" s="147"/>
      <c r="Y107" s="78"/>
      <c r="Z107" s="47"/>
      <c r="AA107" s="47"/>
      <c r="AB107" s="47"/>
      <c r="AC107" s="47"/>
      <c r="AD107" s="46"/>
      <c r="AE107" s="90" t="str">
        <f>IF(C107&lt;&gt;"",HYPERLINK(CONCATENATE(SheetName02,"\",Tools[[#This Row],[Manufacturer]],IF(Tools[[#This Row],[Model]]&lt;&gt;""," "&amp;Tools[[#This Row],[Model]],),".jpg"),CONCATENATE(Tools[[#This Row],[Manufacturer]],IF(Tools[[#This Row],[Model]]&lt;&gt;""," "&amp;Tools[[#This Row],[Model]],),".jpg")),"")</f>
        <v/>
      </c>
      <c r="AG107" s="5" t="str">
        <f t="shared" si="4"/>
        <v/>
      </c>
    </row>
    <row r="108" spans="2:33" x14ac:dyDescent="0.25">
      <c r="B108" s="80" t="str">
        <f t="shared" si="3"/>
        <v/>
      </c>
      <c r="C108" s="153"/>
      <c r="D108" s="153"/>
      <c r="E108" s="78"/>
      <c r="F108" s="47"/>
      <c r="G108" s="47"/>
      <c r="H108" s="47"/>
      <c r="I108" s="47"/>
      <c r="J108" s="47"/>
      <c r="K108" s="44"/>
      <c r="L108" s="47"/>
      <c r="M108" s="47"/>
      <c r="N108" s="47"/>
      <c r="O108" s="47"/>
      <c r="P108" s="78"/>
      <c r="Q108" s="46"/>
      <c r="R108" s="78"/>
      <c r="S108" s="47"/>
      <c r="T108" s="47"/>
      <c r="U108" s="111"/>
      <c r="V108" s="47"/>
      <c r="W108" s="47"/>
      <c r="X108" s="147"/>
      <c r="Y108" s="78"/>
      <c r="Z108" s="47"/>
      <c r="AA108" s="47"/>
      <c r="AB108" s="47"/>
      <c r="AC108" s="47"/>
      <c r="AD108" s="46"/>
      <c r="AE108" s="90" t="str">
        <f>IF(C108&lt;&gt;"",HYPERLINK(CONCATENATE(SheetName02,"\",Tools[[#This Row],[Manufacturer]],IF(Tools[[#This Row],[Model]]&lt;&gt;""," "&amp;Tools[[#This Row],[Model]],),".jpg"),CONCATENATE(Tools[[#This Row],[Manufacturer]],IF(Tools[[#This Row],[Model]]&lt;&gt;""," "&amp;Tools[[#This Row],[Model]],),".jpg")),"")</f>
        <v/>
      </c>
      <c r="AG108" s="5" t="str">
        <f t="shared" si="4"/>
        <v/>
      </c>
    </row>
    <row r="109" spans="2:33" x14ac:dyDescent="0.25">
      <c r="B109" s="80" t="str">
        <f t="shared" si="3"/>
        <v/>
      </c>
      <c r="C109" s="153"/>
      <c r="D109" s="153"/>
      <c r="E109" s="78"/>
      <c r="F109" s="47"/>
      <c r="G109" s="47"/>
      <c r="H109" s="47"/>
      <c r="I109" s="47"/>
      <c r="J109" s="47"/>
      <c r="K109" s="44"/>
      <c r="L109" s="47"/>
      <c r="M109" s="47"/>
      <c r="N109" s="47"/>
      <c r="O109" s="47"/>
      <c r="P109" s="78"/>
      <c r="Q109" s="46"/>
      <c r="R109" s="78"/>
      <c r="S109" s="47"/>
      <c r="T109" s="47"/>
      <c r="U109" s="111"/>
      <c r="V109" s="47"/>
      <c r="W109" s="47"/>
      <c r="X109" s="147"/>
      <c r="Y109" s="78"/>
      <c r="Z109" s="47"/>
      <c r="AA109" s="47"/>
      <c r="AB109" s="47"/>
      <c r="AC109" s="47"/>
      <c r="AD109" s="46"/>
      <c r="AE109" s="90" t="str">
        <f>IF(C109&lt;&gt;"",HYPERLINK(CONCATENATE(SheetName02,"\",Tools[[#This Row],[Manufacturer]],IF(Tools[[#This Row],[Model]]&lt;&gt;""," "&amp;Tools[[#This Row],[Model]],),".jpg"),CONCATENATE(Tools[[#This Row],[Manufacturer]],IF(Tools[[#This Row],[Model]]&lt;&gt;""," "&amp;Tools[[#This Row],[Model]],),".jpg")),"")</f>
        <v/>
      </c>
      <c r="AG109" s="5" t="str">
        <f t="shared" si="4"/>
        <v/>
      </c>
    </row>
    <row r="110" spans="2:33" x14ac:dyDescent="0.25">
      <c r="B110" s="80" t="str">
        <f t="shared" si="3"/>
        <v/>
      </c>
      <c r="C110" s="153"/>
      <c r="D110" s="153"/>
      <c r="E110" s="78"/>
      <c r="F110" s="47"/>
      <c r="G110" s="47"/>
      <c r="H110" s="47"/>
      <c r="I110" s="47"/>
      <c r="J110" s="47"/>
      <c r="K110" s="44"/>
      <c r="L110" s="47"/>
      <c r="M110" s="47"/>
      <c r="N110" s="47"/>
      <c r="O110" s="47"/>
      <c r="P110" s="78"/>
      <c r="Q110" s="46"/>
      <c r="R110" s="78"/>
      <c r="S110" s="47"/>
      <c r="T110" s="47"/>
      <c r="U110" s="111"/>
      <c r="V110" s="47"/>
      <c r="W110" s="47"/>
      <c r="X110" s="147"/>
      <c r="Y110" s="78"/>
      <c r="Z110" s="47"/>
      <c r="AA110" s="47"/>
      <c r="AB110" s="47"/>
      <c r="AC110" s="47"/>
      <c r="AD110" s="46"/>
      <c r="AE110" s="90" t="str">
        <f>IF(C110&lt;&gt;"",HYPERLINK(CONCATENATE(SheetName02,"\",Tools[[#This Row],[Manufacturer]],IF(Tools[[#This Row],[Model]]&lt;&gt;""," "&amp;Tools[[#This Row],[Model]],),".jpg"),CONCATENATE(Tools[[#This Row],[Manufacturer]],IF(Tools[[#This Row],[Model]]&lt;&gt;""," "&amp;Tools[[#This Row],[Model]],),".jpg")),"")</f>
        <v/>
      </c>
      <c r="AG110" s="5" t="str">
        <f t="shared" si="4"/>
        <v/>
      </c>
    </row>
    <row r="111" spans="2:33" x14ac:dyDescent="0.25">
      <c r="B111" s="80" t="str">
        <f t="shared" si="3"/>
        <v/>
      </c>
      <c r="C111" s="153"/>
      <c r="D111" s="153"/>
      <c r="E111" s="78"/>
      <c r="F111" s="47"/>
      <c r="G111" s="47"/>
      <c r="H111" s="47"/>
      <c r="I111" s="47"/>
      <c r="J111" s="47"/>
      <c r="K111" s="44"/>
      <c r="L111" s="47"/>
      <c r="M111" s="47"/>
      <c r="N111" s="47"/>
      <c r="O111" s="47"/>
      <c r="P111" s="78"/>
      <c r="Q111" s="46"/>
      <c r="R111" s="78"/>
      <c r="S111" s="47"/>
      <c r="T111" s="47"/>
      <c r="U111" s="111"/>
      <c r="V111" s="47"/>
      <c r="W111" s="47"/>
      <c r="X111" s="147"/>
      <c r="Y111" s="78"/>
      <c r="Z111" s="47"/>
      <c r="AA111" s="47"/>
      <c r="AB111" s="47"/>
      <c r="AC111" s="47"/>
      <c r="AD111" s="46"/>
      <c r="AE111" s="90" t="str">
        <f>IF(C111&lt;&gt;"",HYPERLINK(CONCATENATE(SheetName02,"\",Tools[[#This Row],[Manufacturer]],IF(Tools[[#This Row],[Model]]&lt;&gt;""," "&amp;Tools[[#This Row],[Model]],),".jpg"),CONCATENATE(Tools[[#This Row],[Manufacturer]],IF(Tools[[#This Row],[Model]]&lt;&gt;""," "&amp;Tools[[#This Row],[Model]],),".jpg")),"")</f>
        <v/>
      </c>
      <c r="AG111" s="5" t="str">
        <f t="shared" si="4"/>
        <v/>
      </c>
    </row>
    <row r="112" spans="2:33" x14ac:dyDescent="0.25">
      <c r="B112" s="80" t="str">
        <f t="shared" si="3"/>
        <v/>
      </c>
      <c r="C112" s="153"/>
      <c r="D112" s="153"/>
      <c r="E112" s="78"/>
      <c r="F112" s="47"/>
      <c r="G112" s="47"/>
      <c r="H112" s="47"/>
      <c r="I112" s="47"/>
      <c r="J112" s="47"/>
      <c r="K112" s="44"/>
      <c r="L112" s="47"/>
      <c r="M112" s="47"/>
      <c r="N112" s="47"/>
      <c r="O112" s="47"/>
      <c r="P112" s="78"/>
      <c r="Q112" s="46"/>
      <c r="R112" s="78"/>
      <c r="S112" s="47"/>
      <c r="T112" s="47"/>
      <c r="U112" s="111"/>
      <c r="V112" s="47"/>
      <c r="W112" s="47"/>
      <c r="X112" s="147"/>
      <c r="Y112" s="78"/>
      <c r="Z112" s="47"/>
      <c r="AA112" s="47"/>
      <c r="AB112" s="47"/>
      <c r="AC112" s="47"/>
      <c r="AD112" s="46"/>
      <c r="AE112" s="90" t="str">
        <f>IF(C112&lt;&gt;"",HYPERLINK(CONCATENATE(SheetName02,"\",Tools[[#This Row],[Manufacturer]],IF(Tools[[#This Row],[Model]]&lt;&gt;""," "&amp;Tools[[#This Row],[Model]],),".jpg"),CONCATENATE(Tools[[#This Row],[Manufacturer]],IF(Tools[[#This Row],[Model]]&lt;&gt;""," "&amp;Tools[[#This Row],[Model]],),".jpg")),"")</f>
        <v/>
      </c>
      <c r="AG112" s="5" t="str">
        <f t="shared" si="4"/>
        <v/>
      </c>
    </row>
    <row r="113" spans="2:33" x14ac:dyDescent="0.25">
      <c r="B113" s="80" t="str">
        <f t="shared" si="3"/>
        <v/>
      </c>
      <c r="C113" s="153"/>
      <c r="D113" s="153"/>
      <c r="E113" s="78"/>
      <c r="F113" s="47"/>
      <c r="G113" s="47"/>
      <c r="H113" s="47"/>
      <c r="I113" s="47"/>
      <c r="J113" s="47"/>
      <c r="K113" s="44"/>
      <c r="L113" s="47"/>
      <c r="M113" s="47"/>
      <c r="N113" s="47"/>
      <c r="O113" s="47"/>
      <c r="P113" s="78"/>
      <c r="Q113" s="46"/>
      <c r="R113" s="78"/>
      <c r="S113" s="47"/>
      <c r="T113" s="47"/>
      <c r="U113" s="111"/>
      <c r="V113" s="47"/>
      <c r="W113" s="47"/>
      <c r="X113" s="147"/>
      <c r="Y113" s="78"/>
      <c r="Z113" s="47"/>
      <c r="AA113" s="47"/>
      <c r="AB113" s="47"/>
      <c r="AC113" s="47"/>
      <c r="AD113" s="46"/>
      <c r="AE113" s="90" t="str">
        <f>IF(C113&lt;&gt;"",HYPERLINK(CONCATENATE(SheetName02,"\",Tools[[#This Row],[Manufacturer]],IF(Tools[[#This Row],[Model]]&lt;&gt;""," "&amp;Tools[[#This Row],[Model]],),".jpg"),CONCATENATE(Tools[[#This Row],[Manufacturer]],IF(Tools[[#This Row],[Model]]&lt;&gt;""," "&amp;Tools[[#This Row],[Model]],),".jpg")),"")</f>
        <v/>
      </c>
      <c r="AG113" s="5" t="str">
        <f t="shared" si="4"/>
        <v/>
      </c>
    </row>
    <row r="114" spans="2:33" x14ac:dyDescent="0.25">
      <c r="B114" s="80" t="str">
        <f t="shared" si="3"/>
        <v/>
      </c>
      <c r="C114" s="153"/>
      <c r="D114" s="153"/>
      <c r="E114" s="78"/>
      <c r="F114" s="47"/>
      <c r="G114" s="47"/>
      <c r="H114" s="47"/>
      <c r="I114" s="47"/>
      <c r="J114" s="47"/>
      <c r="K114" s="44"/>
      <c r="L114" s="47"/>
      <c r="M114" s="47"/>
      <c r="N114" s="47"/>
      <c r="O114" s="47"/>
      <c r="P114" s="78"/>
      <c r="Q114" s="46"/>
      <c r="R114" s="78"/>
      <c r="S114" s="47"/>
      <c r="T114" s="47"/>
      <c r="U114" s="111"/>
      <c r="V114" s="47"/>
      <c r="W114" s="47"/>
      <c r="X114" s="147"/>
      <c r="Y114" s="78"/>
      <c r="Z114" s="47"/>
      <c r="AA114" s="47"/>
      <c r="AB114" s="47"/>
      <c r="AC114" s="47"/>
      <c r="AD114" s="46"/>
      <c r="AE114" s="90" t="str">
        <f>IF(C114&lt;&gt;"",HYPERLINK(CONCATENATE(SheetName02,"\",Tools[[#This Row],[Manufacturer]],IF(Tools[[#This Row],[Model]]&lt;&gt;""," "&amp;Tools[[#This Row],[Model]],),".jpg"),CONCATENATE(Tools[[#This Row],[Manufacturer]],IF(Tools[[#This Row],[Model]]&lt;&gt;""," "&amp;Tools[[#This Row],[Model]],),".jpg")),"")</f>
        <v/>
      </c>
      <c r="AG114" s="5" t="str">
        <f t="shared" si="4"/>
        <v/>
      </c>
    </row>
    <row r="115" spans="2:33" x14ac:dyDescent="0.25">
      <c r="B115" s="80" t="str">
        <f t="shared" si="3"/>
        <v/>
      </c>
      <c r="C115" s="153"/>
      <c r="D115" s="153"/>
      <c r="E115" s="78"/>
      <c r="F115" s="47"/>
      <c r="G115" s="47"/>
      <c r="H115" s="47"/>
      <c r="I115" s="47"/>
      <c r="J115" s="47"/>
      <c r="K115" s="44"/>
      <c r="L115" s="47"/>
      <c r="M115" s="47"/>
      <c r="N115" s="47"/>
      <c r="O115" s="47"/>
      <c r="P115" s="78"/>
      <c r="Q115" s="46"/>
      <c r="R115" s="78"/>
      <c r="S115" s="47"/>
      <c r="T115" s="47"/>
      <c r="U115" s="111"/>
      <c r="V115" s="47"/>
      <c r="W115" s="47"/>
      <c r="X115" s="147"/>
      <c r="Y115" s="78"/>
      <c r="Z115" s="47"/>
      <c r="AA115" s="47"/>
      <c r="AB115" s="47"/>
      <c r="AC115" s="47"/>
      <c r="AD115" s="46"/>
      <c r="AE115" s="90" t="str">
        <f>IF(C115&lt;&gt;"",HYPERLINK(CONCATENATE(SheetName02,"\",Tools[[#This Row],[Manufacturer]],IF(Tools[[#This Row],[Model]]&lt;&gt;""," "&amp;Tools[[#This Row],[Model]],),".jpg"),CONCATENATE(Tools[[#This Row],[Manufacturer]],IF(Tools[[#This Row],[Model]]&lt;&gt;""," "&amp;Tools[[#This Row],[Model]],),".jpg")),"")</f>
        <v/>
      </c>
      <c r="AG115" s="5" t="str">
        <f t="shared" si="4"/>
        <v/>
      </c>
    </row>
    <row r="116" spans="2:33" x14ac:dyDescent="0.25">
      <c r="B116" s="80" t="str">
        <f t="shared" si="3"/>
        <v/>
      </c>
      <c r="C116" s="153"/>
      <c r="D116" s="153"/>
      <c r="E116" s="78"/>
      <c r="F116" s="47"/>
      <c r="G116" s="47"/>
      <c r="H116" s="47"/>
      <c r="I116" s="47"/>
      <c r="J116" s="47"/>
      <c r="K116" s="44"/>
      <c r="L116" s="47"/>
      <c r="M116" s="47"/>
      <c r="N116" s="47"/>
      <c r="O116" s="47"/>
      <c r="P116" s="78"/>
      <c r="Q116" s="46"/>
      <c r="R116" s="78"/>
      <c r="S116" s="47"/>
      <c r="T116" s="47"/>
      <c r="U116" s="111"/>
      <c r="V116" s="47"/>
      <c r="W116" s="47"/>
      <c r="X116" s="147"/>
      <c r="Y116" s="78"/>
      <c r="Z116" s="47"/>
      <c r="AA116" s="47"/>
      <c r="AB116" s="47"/>
      <c r="AC116" s="47"/>
      <c r="AD116" s="46"/>
      <c r="AE116" s="90" t="str">
        <f>IF(C116&lt;&gt;"",HYPERLINK(CONCATENATE(SheetName02,"\",Tools[[#This Row],[Manufacturer]],IF(Tools[[#This Row],[Model]]&lt;&gt;""," "&amp;Tools[[#This Row],[Model]],),".jpg"),CONCATENATE(Tools[[#This Row],[Manufacturer]],IF(Tools[[#This Row],[Model]]&lt;&gt;""," "&amp;Tools[[#This Row],[Model]],),".jpg")),"")</f>
        <v/>
      </c>
      <c r="AG116" s="5" t="str">
        <f t="shared" si="4"/>
        <v/>
      </c>
    </row>
    <row r="117" spans="2:33" x14ac:dyDescent="0.25">
      <c r="B117" s="80" t="str">
        <f t="shared" si="3"/>
        <v/>
      </c>
      <c r="C117" s="153"/>
      <c r="D117" s="153"/>
      <c r="E117" s="78"/>
      <c r="F117" s="47"/>
      <c r="G117" s="47"/>
      <c r="H117" s="47"/>
      <c r="I117" s="47"/>
      <c r="J117" s="47"/>
      <c r="K117" s="44"/>
      <c r="L117" s="47"/>
      <c r="M117" s="47"/>
      <c r="N117" s="47"/>
      <c r="O117" s="47"/>
      <c r="P117" s="78"/>
      <c r="Q117" s="46"/>
      <c r="R117" s="78"/>
      <c r="S117" s="47"/>
      <c r="T117" s="47"/>
      <c r="U117" s="111"/>
      <c r="V117" s="47"/>
      <c r="W117" s="47"/>
      <c r="X117" s="147"/>
      <c r="Y117" s="78"/>
      <c r="Z117" s="47"/>
      <c r="AA117" s="47"/>
      <c r="AB117" s="47"/>
      <c r="AC117" s="47"/>
      <c r="AD117" s="46"/>
      <c r="AE117" s="90" t="str">
        <f>IF(C117&lt;&gt;"",HYPERLINK(CONCATENATE(SheetName02,"\",Tools[[#This Row],[Manufacturer]],IF(Tools[[#This Row],[Model]]&lt;&gt;""," "&amp;Tools[[#This Row],[Model]],),".jpg"),CONCATENATE(Tools[[#This Row],[Manufacturer]],IF(Tools[[#This Row],[Model]]&lt;&gt;""," "&amp;Tools[[#This Row],[Model]],),".jpg")),"")</f>
        <v/>
      </c>
      <c r="AG117" s="5" t="str">
        <f t="shared" si="4"/>
        <v/>
      </c>
    </row>
    <row r="118" spans="2:33" x14ac:dyDescent="0.25">
      <c r="B118" s="80" t="str">
        <f t="shared" si="3"/>
        <v/>
      </c>
      <c r="C118" s="153"/>
      <c r="D118" s="153"/>
      <c r="E118" s="78"/>
      <c r="F118" s="47"/>
      <c r="G118" s="47"/>
      <c r="H118" s="47"/>
      <c r="I118" s="47"/>
      <c r="J118" s="47"/>
      <c r="K118" s="44"/>
      <c r="L118" s="47"/>
      <c r="M118" s="47"/>
      <c r="N118" s="47"/>
      <c r="O118" s="47"/>
      <c r="P118" s="78"/>
      <c r="Q118" s="46"/>
      <c r="R118" s="78"/>
      <c r="S118" s="47"/>
      <c r="T118" s="47"/>
      <c r="U118" s="111"/>
      <c r="V118" s="47"/>
      <c r="W118" s="47"/>
      <c r="X118" s="147"/>
      <c r="Y118" s="78"/>
      <c r="Z118" s="47"/>
      <c r="AA118" s="47"/>
      <c r="AB118" s="47"/>
      <c r="AC118" s="47"/>
      <c r="AD118" s="46"/>
      <c r="AE118" s="90" t="str">
        <f>IF(C118&lt;&gt;"",HYPERLINK(CONCATENATE(SheetName02,"\",Tools[[#This Row],[Manufacturer]],IF(Tools[[#This Row],[Model]]&lt;&gt;""," "&amp;Tools[[#This Row],[Model]],),".jpg"),CONCATENATE(Tools[[#This Row],[Manufacturer]],IF(Tools[[#This Row],[Model]]&lt;&gt;""," "&amp;Tools[[#This Row],[Model]],),".jpg")),"")</f>
        <v/>
      </c>
      <c r="AG118" s="5" t="str">
        <f t="shared" si="4"/>
        <v/>
      </c>
    </row>
    <row r="119" spans="2:33" x14ac:dyDescent="0.25">
      <c r="B119" s="80" t="str">
        <f t="shared" si="3"/>
        <v/>
      </c>
      <c r="C119" s="153"/>
      <c r="D119" s="153"/>
      <c r="E119" s="78"/>
      <c r="F119" s="47"/>
      <c r="G119" s="47"/>
      <c r="H119" s="47"/>
      <c r="I119" s="47"/>
      <c r="J119" s="47"/>
      <c r="K119" s="44"/>
      <c r="L119" s="47"/>
      <c r="M119" s="47"/>
      <c r="N119" s="47"/>
      <c r="O119" s="47"/>
      <c r="P119" s="78"/>
      <c r="Q119" s="46"/>
      <c r="R119" s="78"/>
      <c r="S119" s="47"/>
      <c r="T119" s="47"/>
      <c r="U119" s="111"/>
      <c r="V119" s="47"/>
      <c r="W119" s="47"/>
      <c r="X119" s="147"/>
      <c r="Y119" s="78"/>
      <c r="Z119" s="47"/>
      <c r="AA119" s="47"/>
      <c r="AB119" s="47"/>
      <c r="AC119" s="47"/>
      <c r="AD119" s="46"/>
      <c r="AE119" s="90" t="str">
        <f>IF(C119&lt;&gt;"",HYPERLINK(CONCATENATE(SheetName02,"\",Tools[[#This Row],[Manufacturer]],IF(Tools[[#This Row],[Model]]&lt;&gt;""," "&amp;Tools[[#This Row],[Model]],),".jpg"),CONCATENATE(Tools[[#This Row],[Manufacturer]],IF(Tools[[#This Row],[Model]]&lt;&gt;""," "&amp;Tools[[#This Row],[Model]],),".jpg")),"")</f>
        <v/>
      </c>
      <c r="AG119" s="5" t="str">
        <f t="shared" si="4"/>
        <v/>
      </c>
    </row>
    <row r="120" spans="2:33" x14ac:dyDescent="0.25">
      <c r="B120" s="80" t="str">
        <f t="shared" si="3"/>
        <v/>
      </c>
      <c r="C120" s="153"/>
      <c r="D120" s="153"/>
      <c r="E120" s="78"/>
      <c r="F120" s="47"/>
      <c r="G120" s="47"/>
      <c r="H120" s="47"/>
      <c r="I120" s="47"/>
      <c r="J120" s="47"/>
      <c r="K120" s="44"/>
      <c r="L120" s="47"/>
      <c r="M120" s="47"/>
      <c r="N120" s="47"/>
      <c r="O120" s="47"/>
      <c r="P120" s="78"/>
      <c r="Q120" s="46"/>
      <c r="R120" s="78"/>
      <c r="S120" s="47"/>
      <c r="T120" s="47"/>
      <c r="U120" s="111"/>
      <c r="V120" s="47"/>
      <c r="W120" s="47"/>
      <c r="X120" s="147"/>
      <c r="Y120" s="78"/>
      <c r="Z120" s="47"/>
      <c r="AA120" s="47"/>
      <c r="AB120" s="47"/>
      <c r="AC120" s="47"/>
      <c r="AD120" s="46"/>
      <c r="AE120" s="90" t="str">
        <f>IF(C120&lt;&gt;"",HYPERLINK(CONCATENATE(SheetName02,"\",Tools[[#This Row],[Manufacturer]],IF(Tools[[#This Row],[Model]]&lt;&gt;""," "&amp;Tools[[#This Row],[Model]],),".jpg"),CONCATENATE(Tools[[#This Row],[Manufacturer]],IF(Tools[[#This Row],[Model]]&lt;&gt;""," "&amp;Tools[[#This Row],[Model]],),".jpg")),"")</f>
        <v/>
      </c>
      <c r="AG120" s="5" t="str">
        <f t="shared" si="4"/>
        <v/>
      </c>
    </row>
    <row r="121" spans="2:33" x14ac:dyDescent="0.25">
      <c r="B121" s="80" t="str">
        <f t="shared" si="3"/>
        <v/>
      </c>
      <c r="C121" s="153"/>
      <c r="D121" s="153"/>
      <c r="E121" s="78"/>
      <c r="F121" s="47"/>
      <c r="G121" s="47"/>
      <c r="H121" s="47"/>
      <c r="I121" s="47"/>
      <c r="J121" s="47"/>
      <c r="K121" s="44"/>
      <c r="L121" s="47"/>
      <c r="M121" s="47"/>
      <c r="N121" s="47"/>
      <c r="O121" s="47"/>
      <c r="P121" s="78"/>
      <c r="Q121" s="46"/>
      <c r="R121" s="78"/>
      <c r="S121" s="47"/>
      <c r="T121" s="47"/>
      <c r="U121" s="111"/>
      <c r="V121" s="47"/>
      <c r="W121" s="47"/>
      <c r="X121" s="147"/>
      <c r="Y121" s="78"/>
      <c r="Z121" s="47"/>
      <c r="AA121" s="47"/>
      <c r="AB121" s="47"/>
      <c r="AC121" s="47"/>
      <c r="AD121" s="46"/>
      <c r="AE121" s="90" t="str">
        <f>IF(C121&lt;&gt;"",HYPERLINK(CONCATENATE(SheetName02,"\",Tools[[#This Row],[Manufacturer]],IF(Tools[[#This Row],[Model]]&lt;&gt;""," "&amp;Tools[[#This Row],[Model]],),".jpg"),CONCATENATE(Tools[[#This Row],[Manufacturer]],IF(Tools[[#This Row],[Model]]&lt;&gt;""," "&amp;Tools[[#This Row],[Model]],),".jpg")),"")</f>
        <v/>
      </c>
      <c r="AG121" s="5" t="str">
        <f t="shared" si="4"/>
        <v/>
      </c>
    </row>
    <row r="122" spans="2:33" x14ac:dyDescent="0.25">
      <c r="B122" s="80" t="str">
        <f t="shared" si="3"/>
        <v/>
      </c>
      <c r="C122" s="153"/>
      <c r="D122" s="153"/>
      <c r="E122" s="78"/>
      <c r="F122" s="47"/>
      <c r="G122" s="47"/>
      <c r="H122" s="47"/>
      <c r="I122" s="47"/>
      <c r="J122" s="47"/>
      <c r="K122" s="44"/>
      <c r="L122" s="47"/>
      <c r="M122" s="47"/>
      <c r="N122" s="47"/>
      <c r="O122" s="47"/>
      <c r="P122" s="78"/>
      <c r="Q122" s="46"/>
      <c r="R122" s="78"/>
      <c r="S122" s="47"/>
      <c r="T122" s="47"/>
      <c r="U122" s="111"/>
      <c r="V122" s="47"/>
      <c r="W122" s="47"/>
      <c r="X122" s="147"/>
      <c r="Y122" s="78"/>
      <c r="Z122" s="47"/>
      <c r="AA122" s="47"/>
      <c r="AB122" s="47"/>
      <c r="AC122" s="47"/>
      <c r="AD122" s="46"/>
      <c r="AE122" s="90" t="str">
        <f>IF(C122&lt;&gt;"",HYPERLINK(CONCATENATE(SheetName02,"\",Tools[[#This Row],[Manufacturer]],IF(Tools[[#This Row],[Model]]&lt;&gt;""," "&amp;Tools[[#This Row],[Model]],),".jpg"),CONCATENATE(Tools[[#This Row],[Manufacturer]],IF(Tools[[#This Row],[Model]]&lt;&gt;""," "&amp;Tools[[#This Row],[Model]],),".jpg")),"")</f>
        <v/>
      </c>
      <c r="AG122" s="5" t="str">
        <f t="shared" si="4"/>
        <v/>
      </c>
    </row>
    <row r="123" spans="2:33" x14ac:dyDescent="0.25">
      <c r="B123" s="80" t="str">
        <f t="shared" si="3"/>
        <v/>
      </c>
      <c r="C123" s="153"/>
      <c r="D123" s="153"/>
      <c r="E123" s="78"/>
      <c r="F123" s="47"/>
      <c r="G123" s="47"/>
      <c r="H123" s="47"/>
      <c r="I123" s="47"/>
      <c r="J123" s="47"/>
      <c r="K123" s="44"/>
      <c r="L123" s="47"/>
      <c r="M123" s="47"/>
      <c r="N123" s="47"/>
      <c r="O123" s="47"/>
      <c r="P123" s="78"/>
      <c r="Q123" s="46"/>
      <c r="R123" s="78"/>
      <c r="S123" s="47"/>
      <c r="T123" s="47"/>
      <c r="U123" s="111"/>
      <c r="V123" s="47"/>
      <c r="W123" s="47"/>
      <c r="X123" s="147"/>
      <c r="Y123" s="78"/>
      <c r="Z123" s="47"/>
      <c r="AA123" s="47"/>
      <c r="AB123" s="47"/>
      <c r="AC123" s="47"/>
      <c r="AD123" s="46"/>
      <c r="AE123" s="90" t="str">
        <f>IF(C123&lt;&gt;"",HYPERLINK(CONCATENATE(SheetName02,"\",Tools[[#This Row],[Manufacturer]],IF(Tools[[#This Row],[Model]]&lt;&gt;""," "&amp;Tools[[#This Row],[Model]],),".jpg"),CONCATENATE(Tools[[#This Row],[Manufacturer]],IF(Tools[[#This Row],[Model]]&lt;&gt;""," "&amp;Tools[[#This Row],[Model]],),".jpg")),"")</f>
        <v/>
      </c>
      <c r="AG123" s="5" t="str">
        <f t="shared" si="4"/>
        <v/>
      </c>
    </row>
    <row r="124" spans="2:33" x14ac:dyDescent="0.25">
      <c r="B124" s="80" t="str">
        <f t="shared" si="3"/>
        <v/>
      </c>
      <c r="C124" s="153"/>
      <c r="D124" s="153"/>
      <c r="E124" s="78"/>
      <c r="F124" s="47"/>
      <c r="G124" s="47"/>
      <c r="H124" s="47"/>
      <c r="I124" s="47"/>
      <c r="J124" s="47"/>
      <c r="K124" s="44"/>
      <c r="L124" s="47"/>
      <c r="M124" s="47"/>
      <c r="N124" s="47"/>
      <c r="O124" s="47"/>
      <c r="P124" s="78"/>
      <c r="Q124" s="46"/>
      <c r="R124" s="78"/>
      <c r="S124" s="47"/>
      <c r="T124" s="47"/>
      <c r="U124" s="111"/>
      <c r="V124" s="47"/>
      <c r="W124" s="47"/>
      <c r="X124" s="147"/>
      <c r="Y124" s="78"/>
      <c r="Z124" s="47"/>
      <c r="AA124" s="47"/>
      <c r="AB124" s="47"/>
      <c r="AC124" s="47"/>
      <c r="AD124" s="46"/>
      <c r="AE124" s="90" t="str">
        <f>IF(C124&lt;&gt;"",HYPERLINK(CONCATENATE(SheetName02,"\",Tools[[#This Row],[Manufacturer]],IF(Tools[[#This Row],[Model]]&lt;&gt;""," "&amp;Tools[[#This Row],[Model]],),".jpg"),CONCATENATE(Tools[[#This Row],[Manufacturer]],IF(Tools[[#This Row],[Model]]&lt;&gt;""," "&amp;Tools[[#This Row],[Model]],),".jpg")),"")</f>
        <v/>
      </c>
      <c r="AG124" s="5" t="str">
        <f t="shared" si="4"/>
        <v/>
      </c>
    </row>
    <row r="125" spans="2:33" x14ac:dyDescent="0.25">
      <c r="B125" s="80" t="str">
        <f t="shared" si="3"/>
        <v/>
      </c>
      <c r="C125" s="153"/>
      <c r="D125" s="153"/>
      <c r="E125" s="78"/>
      <c r="F125" s="47"/>
      <c r="G125" s="47"/>
      <c r="H125" s="47"/>
      <c r="I125" s="47"/>
      <c r="J125" s="47"/>
      <c r="K125" s="44"/>
      <c r="L125" s="47"/>
      <c r="M125" s="47"/>
      <c r="N125" s="47"/>
      <c r="O125" s="47"/>
      <c r="P125" s="78"/>
      <c r="Q125" s="46"/>
      <c r="R125" s="78"/>
      <c r="S125" s="47"/>
      <c r="T125" s="47"/>
      <c r="U125" s="111"/>
      <c r="V125" s="47"/>
      <c r="W125" s="47"/>
      <c r="X125" s="147"/>
      <c r="Y125" s="78"/>
      <c r="Z125" s="47"/>
      <c r="AA125" s="47"/>
      <c r="AB125" s="47"/>
      <c r="AC125" s="47"/>
      <c r="AD125" s="46"/>
      <c r="AE125" s="90" t="str">
        <f>IF(C125&lt;&gt;"",HYPERLINK(CONCATENATE(SheetName02,"\",Tools[[#This Row],[Manufacturer]],IF(Tools[[#This Row],[Model]]&lt;&gt;""," "&amp;Tools[[#This Row],[Model]],),".jpg"),CONCATENATE(Tools[[#This Row],[Manufacturer]],IF(Tools[[#This Row],[Model]]&lt;&gt;""," "&amp;Tools[[#This Row],[Model]],),".jpg")),"")</f>
        <v/>
      </c>
      <c r="AG125" s="5" t="str">
        <f t="shared" si="4"/>
        <v/>
      </c>
    </row>
    <row r="126" spans="2:33" x14ac:dyDescent="0.25">
      <c r="B126" s="80" t="str">
        <f t="shared" si="3"/>
        <v/>
      </c>
      <c r="C126" s="153"/>
      <c r="D126" s="153"/>
      <c r="E126" s="78"/>
      <c r="F126" s="47"/>
      <c r="G126" s="47"/>
      <c r="H126" s="47"/>
      <c r="I126" s="47"/>
      <c r="J126" s="47"/>
      <c r="K126" s="44"/>
      <c r="L126" s="47"/>
      <c r="M126" s="47"/>
      <c r="N126" s="47"/>
      <c r="O126" s="47"/>
      <c r="P126" s="78"/>
      <c r="Q126" s="46"/>
      <c r="R126" s="78"/>
      <c r="S126" s="47"/>
      <c r="T126" s="47"/>
      <c r="U126" s="111"/>
      <c r="V126" s="47"/>
      <c r="W126" s="47"/>
      <c r="X126" s="147"/>
      <c r="Y126" s="78"/>
      <c r="Z126" s="47"/>
      <c r="AA126" s="47"/>
      <c r="AB126" s="47"/>
      <c r="AC126" s="47"/>
      <c r="AD126" s="46"/>
      <c r="AE126" s="90" t="str">
        <f>IF(C126&lt;&gt;"",HYPERLINK(CONCATENATE(SheetName02,"\",Tools[[#This Row],[Manufacturer]],IF(Tools[[#This Row],[Model]]&lt;&gt;""," "&amp;Tools[[#This Row],[Model]],),".jpg"),CONCATENATE(Tools[[#This Row],[Manufacturer]],IF(Tools[[#This Row],[Model]]&lt;&gt;""," "&amp;Tools[[#This Row],[Model]],),".jpg")),"")</f>
        <v/>
      </c>
      <c r="AG126" s="5" t="str">
        <f t="shared" si="4"/>
        <v/>
      </c>
    </row>
    <row r="127" spans="2:33" x14ac:dyDescent="0.25">
      <c r="B127" s="80" t="str">
        <f t="shared" si="3"/>
        <v/>
      </c>
      <c r="C127" s="153"/>
      <c r="D127" s="153"/>
      <c r="E127" s="78"/>
      <c r="F127" s="47"/>
      <c r="G127" s="47"/>
      <c r="H127" s="47"/>
      <c r="I127" s="47"/>
      <c r="J127" s="47"/>
      <c r="K127" s="44"/>
      <c r="L127" s="47"/>
      <c r="M127" s="47"/>
      <c r="N127" s="47"/>
      <c r="O127" s="47"/>
      <c r="P127" s="78"/>
      <c r="Q127" s="46"/>
      <c r="R127" s="78"/>
      <c r="S127" s="47"/>
      <c r="T127" s="47"/>
      <c r="U127" s="111"/>
      <c r="V127" s="47"/>
      <c r="W127" s="47"/>
      <c r="X127" s="147"/>
      <c r="Y127" s="78"/>
      <c r="Z127" s="47"/>
      <c r="AA127" s="47"/>
      <c r="AB127" s="47"/>
      <c r="AC127" s="47"/>
      <c r="AD127" s="46"/>
      <c r="AE127" s="90" t="str">
        <f>IF(C127&lt;&gt;"",HYPERLINK(CONCATENATE(SheetName02,"\",Tools[[#This Row],[Manufacturer]],IF(Tools[[#This Row],[Model]]&lt;&gt;""," "&amp;Tools[[#This Row],[Model]],),".jpg"),CONCATENATE(Tools[[#This Row],[Manufacturer]],IF(Tools[[#This Row],[Model]]&lt;&gt;""," "&amp;Tools[[#This Row],[Model]],),".jpg")),"")</f>
        <v/>
      </c>
      <c r="AG127" s="5" t="str">
        <f t="shared" si="4"/>
        <v/>
      </c>
    </row>
    <row r="128" spans="2:33" x14ac:dyDescent="0.25">
      <c r="B128" s="80" t="str">
        <f t="shared" si="3"/>
        <v/>
      </c>
      <c r="C128" s="153"/>
      <c r="D128" s="153"/>
      <c r="E128" s="78"/>
      <c r="F128" s="47"/>
      <c r="G128" s="47"/>
      <c r="H128" s="47"/>
      <c r="I128" s="47"/>
      <c r="J128" s="47"/>
      <c r="K128" s="44"/>
      <c r="L128" s="47"/>
      <c r="M128" s="47"/>
      <c r="N128" s="47"/>
      <c r="O128" s="47"/>
      <c r="P128" s="78"/>
      <c r="Q128" s="46"/>
      <c r="R128" s="78"/>
      <c r="S128" s="47"/>
      <c r="T128" s="47"/>
      <c r="U128" s="111"/>
      <c r="V128" s="47"/>
      <c r="W128" s="47"/>
      <c r="X128" s="147"/>
      <c r="Y128" s="78"/>
      <c r="Z128" s="47"/>
      <c r="AA128" s="47"/>
      <c r="AB128" s="47"/>
      <c r="AC128" s="47"/>
      <c r="AD128" s="46"/>
      <c r="AE128" s="90" t="str">
        <f>IF(C128&lt;&gt;"",HYPERLINK(CONCATENATE(SheetName02,"\",Tools[[#This Row],[Manufacturer]],IF(Tools[[#This Row],[Model]]&lt;&gt;""," "&amp;Tools[[#This Row],[Model]],),".jpg"),CONCATENATE(Tools[[#This Row],[Manufacturer]],IF(Tools[[#This Row],[Model]]&lt;&gt;""," "&amp;Tools[[#This Row],[Model]],),".jpg")),"")</f>
        <v/>
      </c>
      <c r="AG128" s="5" t="str">
        <f t="shared" si="4"/>
        <v/>
      </c>
    </row>
    <row r="129" spans="2:33" x14ac:dyDescent="0.25">
      <c r="B129" s="80" t="str">
        <f t="shared" si="3"/>
        <v/>
      </c>
      <c r="C129" s="153"/>
      <c r="D129" s="153"/>
      <c r="E129" s="78"/>
      <c r="F129" s="47"/>
      <c r="G129" s="47"/>
      <c r="H129" s="47"/>
      <c r="I129" s="47"/>
      <c r="J129" s="47"/>
      <c r="K129" s="44"/>
      <c r="L129" s="47"/>
      <c r="M129" s="47"/>
      <c r="N129" s="47"/>
      <c r="O129" s="47"/>
      <c r="P129" s="78"/>
      <c r="Q129" s="46"/>
      <c r="R129" s="78"/>
      <c r="S129" s="47"/>
      <c r="T129" s="47"/>
      <c r="U129" s="111"/>
      <c r="V129" s="47"/>
      <c r="W129" s="47"/>
      <c r="X129" s="147"/>
      <c r="Y129" s="78"/>
      <c r="Z129" s="47"/>
      <c r="AA129" s="47"/>
      <c r="AB129" s="47"/>
      <c r="AC129" s="47"/>
      <c r="AD129" s="46"/>
      <c r="AE129" s="90" t="str">
        <f>IF(C129&lt;&gt;"",HYPERLINK(CONCATENATE(SheetName02,"\",Tools[[#This Row],[Manufacturer]],IF(Tools[[#This Row],[Model]]&lt;&gt;""," "&amp;Tools[[#This Row],[Model]],),".jpg"),CONCATENATE(Tools[[#This Row],[Manufacturer]],IF(Tools[[#This Row],[Model]]&lt;&gt;""," "&amp;Tools[[#This Row],[Model]],),".jpg")),"")</f>
        <v/>
      </c>
      <c r="AG129" s="5" t="str">
        <f t="shared" si="4"/>
        <v/>
      </c>
    </row>
    <row r="130" spans="2:33" x14ac:dyDescent="0.25">
      <c r="B130" s="80" t="str">
        <f t="shared" si="3"/>
        <v/>
      </c>
      <c r="C130" s="153"/>
      <c r="D130" s="153"/>
      <c r="E130" s="78"/>
      <c r="F130" s="47"/>
      <c r="G130" s="47"/>
      <c r="H130" s="47"/>
      <c r="I130" s="47"/>
      <c r="J130" s="47"/>
      <c r="K130" s="44"/>
      <c r="L130" s="47"/>
      <c r="M130" s="47"/>
      <c r="N130" s="47"/>
      <c r="O130" s="47"/>
      <c r="P130" s="78"/>
      <c r="Q130" s="46"/>
      <c r="R130" s="78"/>
      <c r="S130" s="47"/>
      <c r="T130" s="47"/>
      <c r="U130" s="111"/>
      <c r="V130" s="47"/>
      <c r="W130" s="47"/>
      <c r="X130" s="147"/>
      <c r="Y130" s="78"/>
      <c r="Z130" s="47"/>
      <c r="AA130" s="47"/>
      <c r="AB130" s="47"/>
      <c r="AC130" s="47"/>
      <c r="AD130" s="46"/>
      <c r="AE130" s="90" t="str">
        <f>IF(C130&lt;&gt;"",HYPERLINK(CONCATENATE(SheetName02,"\",Tools[[#This Row],[Manufacturer]],IF(Tools[[#This Row],[Model]]&lt;&gt;""," "&amp;Tools[[#This Row],[Model]],),".jpg"),CONCATENATE(Tools[[#This Row],[Manufacturer]],IF(Tools[[#This Row],[Model]]&lt;&gt;""," "&amp;Tools[[#This Row],[Model]],),".jpg")),"")</f>
        <v/>
      </c>
      <c r="AG130" s="5" t="str">
        <f t="shared" si="4"/>
        <v/>
      </c>
    </row>
    <row r="131" spans="2:33" x14ac:dyDescent="0.25">
      <c r="B131" s="80" t="str">
        <f t="shared" si="3"/>
        <v/>
      </c>
      <c r="C131" s="153"/>
      <c r="D131" s="153"/>
      <c r="E131" s="78"/>
      <c r="F131" s="47"/>
      <c r="G131" s="47"/>
      <c r="H131" s="47"/>
      <c r="I131" s="47"/>
      <c r="J131" s="47"/>
      <c r="K131" s="44"/>
      <c r="L131" s="47"/>
      <c r="M131" s="47"/>
      <c r="N131" s="47"/>
      <c r="O131" s="47"/>
      <c r="P131" s="78"/>
      <c r="Q131" s="46"/>
      <c r="R131" s="78"/>
      <c r="S131" s="47"/>
      <c r="T131" s="47"/>
      <c r="U131" s="111"/>
      <c r="V131" s="47"/>
      <c r="W131" s="47"/>
      <c r="X131" s="147"/>
      <c r="Y131" s="78"/>
      <c r="Z131" s="47"/>
      <c r="AA131" s="47"/>
      <c r="AB131" s="47"/>
      <c r="AC131" s="47"/>
      <c r="AD131" s="46"/>
      <c r="AE131" s="90" t="str">
        <f>IF(C131&lt;&gt;"",HYPERLINK(CONCATENATE(SheetName02,"\",Tools[[#This Row],[Manufacturer]],IF(Tools[[#This Row],[Model]]&lt;&gt;""," "&amp;Tools[[#This Row],[Model]],),".jpg"),CONCATENATE(Tools[[#This Row],[Manufacturer]],IF(Tools[[#This Row],[Model]]&lt;&gt;""," "&amp;Tools[[#This Row],[Model]],),".jpg")),"")</f>
        <v/>
      </c>
      <c r="AG131" s="5" t="str">
        <f t="shared" si="4"/>
        <v/>
      </c>
    </row>
    <row r="132" spans="2:33" x14ac:dyDescent="0.25">
      <c r="B132" s="80" t="str">
        <f t="shared" ref="B132:B195" si="5">IF(C132&lt;&gt;"",ROW(A129),"")</f>
        <v/>
      </c>
      <c r="C132" s="153"/>
      <c r="D132" s="153"/>
      <c r="E132" s="78"/>
      <c r="F132" s="47"/>
      <c r="G132" s="47"/>
      <c r="H132" s="47"/>
      <c r="I132" s="47"/>
      <c r="J132" s="47"/>
      <c r="K132" s="44"/>
      <c r="L132" s="47"/>
      <c r="M132" s="47"/>
      <c r="N132" s="47"/>
      <c r="O132" s="47"/>
      <c r="P132" s="78"/>
      <c r="Q132" s="46"/>
      <c r="R132" s="78"/>
      <c r="S132" s="47"/>
      <c r="T132" s="47"/>
      <c r="U132" s="111"/>
      <c r="V132" s="47"/>
      <c r="W132" s="47"/>
      <c r="X132" s="147"/>
      <c r="Y132" s="78"/>
      <c r="Z132" s="47"/>
      <c r="AA132" s="47"/>
      <c r="AB132" s="47"/>
      <c r="AC132" s="47"/>
      <c r="AD132" s="46"/>
      <c r="AE132" s="90" t="str">
        <f>IF(C132&lt;&gt;"",HYPERLINK(CONCATENATE(SheetName02,"\",Tools[[#This Row],[Manufacturer]],IF(Tools[[#This Row],[Model]]&lt;&gt;""," "&amp;Tools[[#This Row],[Model]],),".jpg"),CONCATENATE(Tools[[#This Row],[Manufacturer]],IF(Tools[[#This Row],[Model]]&lt;&gt;""," "&amp;Tools[[#This Row],[Model]],),".jpg")),"")</f>
        <v/>
      </c>
      <c r="AG132" s="5" t="str">
        <f t="shared" si="4"/>
        <v/>
      </c>
    </row>
    <row r="133" spans="2:33" x14ac:dyDescent="0.25">
      <c r="B133" s="80" t="str">
        <f t="shared" si="5"/>
        <v/>
      </c>
      <c r="C133" s="153"/>
      <c r="D133" s="153"/>
      <c r="E133" s="78"/>
      <c r="F133" s="47"/>
      <c r="G133" s="47"/>
      <c r="H133" s="47"/>
      <c r="I133" s="47"/>
      <c r="J133" s="47"/>
      <c r="K133" s="44"/>
      <c r="L133" s="47"/>
      <c r="M133" s="47"/>
      <c r="N133" s="47"/>
      <c r="O133" s="47"/>
      <c r="P133" s="78"/>
      <c r="Q133" s="46"/>
      <c r="R133" s="78"/>
      <c r="S133" s="47"/>
      <c r="T133" s="47"/>
      <c r="U133" s="111"/>
      <c r="V133" s="47"/>
      <c r="W133" s="47"/>
      <c r="X133" s="147"/>
      <c r="Y133" s="78"/>
      <c r="Z133" s="47"/>
      <c r="AA133" s="47"/>
      <c r="AB133" s="47"/>
      <c r="AC133" s="47"/>
      <c r="AD133" s="46"/>
      <c r="AE133" s="90" t="str">
        <f>IF(C133&lt;&gt;"",HYPERLINK(CONCATENATE(SheetName02,"\",Tools[[#This Row],[Manufacturer]],IF(Tools[[#This Row],[Model]]&lt;&gt;""," "&amp;Tools[[#This Row],[Model]],),".jpg"),CONCATENATE(Tools[[#This Row],[Manufacturer]],IF(Tools[[#This Row],[Model]]&lt;&gt;""," "&amp;Tools[[#This Row],[Model]],),".jpg")),"")</f>
        <v/>
      </c>
      <c r="AG133" s="5" t="str">
        <f t="shared" si="4"/>
        <v/>
      </c>
    </row>
    <row r="134" spans="2:33" x14ac:dyDescent="0.25">
      <c r="B134" s="80" t="str">
        <f t="shared" si="5"/>
        <v/>
      </c>
      <c r="C134" s="153"/>
      <c r="D134" s="153"/>
      <c r="E134" s="78"/>
      <c r="F134" s="47"/>
      <c r="G134" s="47"/>
      <c r="H134" s="47"/>
      <c r="I134" s="47"/>
      <c r="J134" s="47"/>
      <c r="K134" s="44"/>
      <c r="L134" s="47"/>
      <c r="M134" s="47"/>
      <c r="N134" s="47"/>
      <c r="O134" s="47"/>
      <c r="P134" s="78"/>
      <c r="Q134" s="46"/>
      <c r="R134" s="78"/>
      <c r="S134" s="47"/>
      <c r="T134" s="47"/>
      <c r="U134" s="111"/>
      <c r="V134" s="47"/>
      <c r="W134" s="47"/>
      <c r="X134" s="147"/>
      <c r="Y134" s="78"/>
      <c r="Z134" s="47"/>
      <c r="AA134" s="47"/>
      <c r="AB134" s="47"/>
      <c r="AC134" s="47"/>
      <c r="AD134" s="46"/>
      <c r="AE134" s="90" t="str">
        <f>IF(C134&lt;&gt;"",HYPERLINK(CONCATENATE(SheetName02,"\",Tools[[#This Row],[Manufacturer]],IF(Tools[[#This Row],[Model]]&lt;&gt;""," "&amp;Tools[[#This Row],[Model]],),".jpg"),CONCATENATE(Tools[[#This Row],[Manufacturer]],IF(Tools[[#This Row],[Model]]&lt;&gt;""," "&amp;Tools[[#This Row],[Model]],),".jpg")),"")</f>
        <v/>
      </c>
      <c r="AG134" s="5" t="str">
        <f t="shared" si="4"/>
        <v/>
      </c>
    </row>
    <row r="135" spans="2:33" x14ac:dyDescent="0.25">
      <c r="B135" s="80" t="str">
        <f t="shared" si="5"/>
        <v/>
      </c>
      <c r="C135" s="153"/>
      <c r="D135" s="153"/>
      <c r="E135" s="78"/>
      <c r="F135" s="47"/>
      <c r="G135" s="47"/>
      <c r="H135" s="47"/>
      <c r="I135" s="47"/>
      <c r="J135" s="47"/>
      <c r="K135" s="44"/>
      <c r="L135" s="47"/>
      <c r="M135" s="47"/>
      <c r="N135" s="47"/>
      <c r="O135" s="47"/>
      <c r="P135" s="78"/>
      <c r="Q135" s="46"/>
      <c r="R135" s="78"/>
      <c r="S135" s="47"/>
      <c r="T135" s="47"/>
      <c r="U135" s="111"/>
      <c r="V135" s="47"/>
      <c r="W135" s="47"/>
      <c r="X135" s="147"/>
      <c r="Y135" s="78"/>
      <c r="Z135" s="47"/>
      <c r="AA135" s="47"/>
      <c r="AB135" s="47"/>
      <c r="AC135" s="47"/>
      <c r="AD135" s="46"/>
      <c r="AE135" s="90" t="str">
        <f>IF(C135&lt;&gt;"",HYPERLINK(CONCATENATE(SheetName02,"\",Tools[[#This Row],[Manufacturer]],IF(Tools[[#This Row],[Model]]&lt;&gt;""," "&amp;Tools[[#This Row],[Model]],),".jpg"),CONCATENATE(Tools[[#This Row],[Manufacturer]],IF(Tools[[#This Row],[Model]]&lt;&gt;""," "&amp;Tools[[#This Row],[Model]],),".jpg")),"")</f>
        <v/>
      </c>
      <c r="AG135" s="5" t="str">
        <f t="shared" ref="AG135:AG198" si="6">IF(B135="","",(CONCATENATE(TEXT(B135,"000")," ",C135," ",D135)))</f>
        <v/>
      </c>
    </row>
    <row r="136" spans="2:33" x14ac:dyDescent="0.25">
      <c r="B136" s="80" t="str">
        <f t="shared" si="5"/>
        <v/>
      </c>
      <c r="C136" s="153"/>
      <c r="D136" s="153"/>
      <c r="E136" s="78"/>
      <c r="F136" s="47"/>
      <c r="G136" s="47"/>
      <c r="H136" s="47"/>
      <c r="I136" s="47"/>
      <c r="J136" s="47"/>
      <c r="K136" s="44"/>
      <c r="L136" s="47"/>
      <c r="M136" s="47"/>
      <c r="N136" s="47"/>
      <c r="O136" s="47"/>
      <c r="P136" s="78"/>
      <c r="Q136" s="46"/>
      <c r="R136" s="78"/>
      <c r="S136" s="47"/>
      <c r="T136" s="47"/>
      <c r="U136" s="111"/>
      <c r="V136" s="47"/>
      <c r="W136" s="47"/>
      <c r="X136" s="147"/>
      <c r="Y136" s="78"/>
      <c r="Z136" s="47"/>
      <c r="AA136" s="47"/>
      <c r="AB136" s="47"/>
      <c r="AC136" s="47"/>
      <c r="AD136" s="46"/>
      <c r="AE136" s="90" t="str">
        <f>IF(C136&lt;&gt;"",HYPERLINK(CONCATENATE(SheetName02,"\",Tools[[#This Row],[Manufacturer]],IF(Tools[[#This Row],[Model]]&lt;&gt;""," "&amp;Tools[[#This Row],[Model]],),".jpg"),CONCATENATE(Tools[[#This Row],[Manufacturer]],IF(Tools[[#This Row],[Model]]&lt;&gt;""," "&amp;Tools[[#This Row],[Model]],),".jpg")),"")</f>
        <v/>
      </c>
      <c r="AG136" s="5" t="str">
        <f t="shared" si="6"/>
        <v/>
      </c>
    </row>
    <row r="137" spans="2:33" x14ac:dyDescent="0.25">
      <c r="B137" s="80" t="str">
        <f t="shared" si="5"/>
        <v/>
      </c>
      <c r="C137" s="153"/>
      <c r="D137" s="153"/>
      <c r="E137" s="78"/>
      <c r="F137" s="47"/>
      <c r="G137" s="47"/>
      <c r="H137" s="47"/>
      <c r="I137" s="47"/>
      <c r="J137" s="47"/>
      <c r="K137" s="44"/>
      <c r="L137" s="47"/>
      <c r="M137" s="47"/>
      <c r="N137" s="47"/>
      <c r="O137" s="47"/>
      <c r="P137" s="78"/>
      <c r="Q137" s="46"/>
      <c r="R137" s="78"/>
      <c r="S137" s="47"/>
      <c r="T137" s="47"/>
      <c r="U137" s="111"/>
      <c r="V137" s="47"/>
      <c r="W137" s="47"/>
      <c r="X137" s="147"/>
      <c r="Y137" s="78"/>
      <c r="Z137" s="47"/>
      <c r="AA137" s="47"/>
      <c r="AB137" s="47"/>
      <c r="AC137" s="47"/>
      <c r="AD137" s="46"/>
      <c r="AE137" s="90" t="str">
        <f>IF(C137&lt;&gt;"",HYPERLINK(CONCATENATE(SheetName02,"\",Tools[[#This Row],[Manufacturer]],IF(Tools[[#This Row],[Model]]&lt;&gt;""," "&amp;Tools[[#This Row],[Model]],),".jpg"),CONCATENATE(Tools[[#This Row],[Manufacturer]],IF(Tools[[#This Row],[Model]]&lt;&gt;""," "&amp;Tools[[#This Row],[Model]],),".jpg")),"")</f>
        <v/>
      </c>
      <c r="AG137" s="5" t="str">
        <f t="shared" si="6"/>
        <v/>
      </c>
    </row>
    <row r="138" spans="2:33" x14ac:dyDescent="0.25">
      <c r="B138" s="80" t="str">
        <f t="shared" si="5"/>
        <v/>
      </c>
      <c r="C138" s="153"/>
      <c r="D138" s="153"/>
      <c r="E138" s="78"/>
      <c r="F138" s="47"/>
      <c r="G138" s="47"/>
      <c r="H138" s="47"/>
      <c r="I138" s="47"/>
      <c r="J138" s="47"/>
      <c r="K138" s="44"/>
      <c r="L138" s="47"/>
      <c r="M138" s="47"/>
      <c r="N138" s="47"/>
      <c r="O138" s="47"/>
      <c r="P138" s="78"/>
      <c r="Q138" s="46"/>
      <c r="R138" s="78"/>
      <c r="S138" s="47"/>
      <c r="T138" s="47"/>
      <c r="U138" s="111"/>
      <c r="V138" s="47"/>
      <c r="W138" s="47"/>
      <c r="X138" s="147"/>
      <c r="Y138" s="78"/>
      <c r="Z138" s="47"/>
      <c r="AA138" s="47"/>
      <c r="AB138" s="47"/>
      <c r="AC138" s="47"/>
      <c r="AD138" s="46"/>
      <c r="AE138" s="90" t="str">
        <f>IF(C138&lt;&gt;"",HYPERLINK(CONCATENATE(SheetName02,"\",Tools[[#This Row],[Manufacturer]],IF(Tools[[#This Row],[Model]]&lt;&gt;""," "&amp;Tools[[#This Row],[Model]],),".jpg"),CONCATENATE(Tools[[#This Row],[Manufacturer]],IF(Tools[[#This Row],[Model]]&lt;&gt;""," "&amp;Tools[[#This Row],[Model]],),".jpg")),"")</f>
        <v/>
      </c>
      <c r="AG138" s="5" t="str">
        <f t="shared" si="6"/>
        <v/>
      </c>
    </row>
    <row r="139" spans="2:33" x14ac:dyDescent="0.25">
      <c r="B139" s="80" t="str">
        <f t="shared" si="5"/>
        <v/>
      </c>
      <c r="C139" s="153"/>
      <c r="D139" s="153"/>
      <c r="E139" s="78"/>
      <c r="F139" s="47"/>
      <c r="G139" s="47"/>
      <c r="H139" s="47"/>
      <c r="I139" s="47"/>
      <c r="J139" s="47"/>
      <c r="K139" s="44"/>
      <c r="L139" s="47"/>
      <c r="M139" s="47"/>
      <c r="N139" s="47"/>
      <c r="O139" s="47"/>
      <c r="P139" s="78"/>
      <c r="Q139" s="46"/>
      <c r="R139" s="78"/>
      <c r="S139" s="47"/>
      <c r="T139" s="47"/>
      <c r="U139" s="111"/>
      <c r="V139" s="47"/>
      <c r="W139" s="47"/>
      <c r="X139" s="147"/>
      <c r="Y139" s="78"/>
      <c r="Z139" s="47"/>
      <c r="AA139" s="47"/>
      <c r="AB139" s="47"/>
      <c r="AC139" s="47"/>
      <c r="AD139" s="46"/>
      <c r="AE139" s="90" t="str">
        <f>IF(C139&lt;&gt;"",HYPERLINK(CONCATENATE(SheetName02,"\",Tools[[#This Row],[Manufacturer]],IF(Tools[[#This Row],[Model]]&lt;&gt;""," "&amp;Tools[[#This Row],[Model]],),".jpg"),CONCATENATE(Tools[[#This Row],[Manufacturer]],IF(Tools[[#This Row],[Model]]&lt;&gt;""," "&amp;Tools[[#This Row],[Model]],),".jpg")),"")</f>
        <v/>
      </c>
      <c r="AG139" s="5" t="str">
        <f t="shared" si="6"/>
        <v/>
      </c>
    </row>
    <row r="140" spans="2:33" x14ac:dyDescent="0.25">
      <c r="B140" s="80" t="str">
        <f t="shared" si="5"/>
        <v/>
      </c>
      <c r="C140" s="153"/>
      <c r="D140" s="153"/>
      <c r="E140" s="78"/>
      <c r="F140" s="47"/>
      <c r="G140" s="47"/>
      <c r="H140" s="47"/>
      <c r="I140" s="47"/>
      <c r="J140" s="47"/>
      <c r="K140" s="44"/>
      <c r="L140" s="47"/>
      <c r="M140" s="47"/>
      <c r="N140" s="47"/>
      <c r="O140" s="47"/>
      <c r="P140" s="78"/>
      <c r="Q140" s="46"/>
      <c r="R140" s="78"/>
      <c r="S140" s="47"/>
      <c r="T140" s="47"/>
      <c r="U140" s="111"/>
      <c r="V140" s="47"/>
      <c r="W140" s="47"/>
      <c r="X140" s="147"/>
      <c r="Y140" s="78"/>
      <c r="Z140" s="47"/>
      <c r="AA140" s="47"/>
      <c r="AB140" s="47"/>
      <c r="AC140" s="47"/>
      <c r="AD140" s="46"/>
      <c r="AE140" s="90" t="str">
        <f>IF(C140&lt;&gt;"",HYPERLINK(CONCATENATE(SheetName02,"\",Tools[[#This Row],[Manufacturer]],IF(Tools[[#This Row],[Model]]&lt;&gt;""," "&amp;Tools[[#This Row],[Model]],),".jpg"),CONCATENATE(Tools[[#This Row],[Manufacturer]],IF(Tools[[#This Row],[Model]]&lt;&gt;""," "&amp;Tools[[#This Row],[Model]],),".jpg")),"")</f>
        <v/>
      </c>
      <c r="AG140" s="5" t="str">
        <f t="shared" si="6"/>
        <v/>
      </c>
    </row>
    <row r="141" spans="2:33" x14ac:dyDescent="0.25">
      <c r="B141" s="80" t="str">
        <f t="shared" si="5"/>
        <v/>
      </c>
      <c r="C141" s="153"/>
      <c r="D141" s="153"/>
      <c r="E141" s="78"/>
      <c r="F141" s="47"/>
      <c r="G141" s="47"/>
      <c r="H141" s="47"/>
      <c r="I141" s="47"/>
      <c r="J141" s="47"/>
      <c r="K141" s="44"/>
      <c r="L141" s="47"/>
      <c r="M141" s="47"/>
      <c r="N141" s="47"/>
      <c r="O141" s="47"/>
      <c r="P141" s="78"/>
      <c r="Q141" s="46"/>
      <c r="R141" s="78"/>
      <c r="S141" s="47"/>
      <c r="T141" s="47"/>
      <c r="U141" s="111"/>
      <c r="V141" s="47"/>
      <c r="W141" s="47"/>
      <c r="X141" s="147"/>
      <c r="Y141" s="78"/>
      <c r="Z141" s="47"/>
      <c r="AA141" s="47"/>
      <c r="AB141" s="47"/>
      <c r="AC141" s="47"/>
      <c r="AD141" s="46"/>
      <c r="AE141" s="90" t="str">
        <f>IF(C141&lt;&gt;"",HYPERLINK(CONCATENATE(SheetName02,"\",Tools[[#This Row],[Manufacturer]],IF(Tools[[#This Row],[Model]]&lt;&gt;""," "&amp;Tools[[#This Row],[Model]],),".jpg"),CONCATENATE(Tools[[#This Row],[Manufacturer]],IF(Tools[[#This Row],[Model]]&lt;&gt;""," "&amp;Tools[[#This Row],[Model]],),".jpg")),"")</f>
        <v/>
      </c>
      <c r="AG141" s="5" t="str">
        <f t="shared" si="6"/>
        <v/>
      </c>
    </row>
    <row r="142" spans="2:33" x14ac:dyDescent="0.25">
      <c r="B142" s="80" t="str">
        <f t="shared" si="5"/>
        <v/>
      </c>
      <c r="C142" s="153"/>
      <c r="D142" s="153"/>
      <c r="E142" s="78"/>
      <c r="F142" s="47"/>
      <c r="G142" s="47"/>
      <c r="H142" s="47"/>
      <c r="I142" s="47"/>
      <c r="J142" s="47"/>
      <c r="K142" s="44"/>
      <c r="L142" s="47"/>
      <c r="M142" s="47"/>
      <c r="N142" s="47"/>
      <c r="O142" s="47"/>
      <c r="P142" s="78"/>
      <c r="Q142" s="46"/>
      <c r="R142" s="78"/>
      <c r="S142" s="47"/>
      <c r="T142" s="47"/>
      <c r="U142" s="111"/>
      <c r="V142" s="47"/>
      <c r="W142" s="47"/>
      <c r="X142" s="147"/>
      <c r="Y142" s="78"/>
      <c r="Z142" s="47"/>
      <c r="AA142" s="47"/>
      <c r="AB142" s="47"/>
      <c r="AC142" s="47"/>
      <c r="AD142" s="46"/>
      <c r="AE142" s="90" t="str">
        <f>IF(C142&lt;&gt;"",HYPERLINK(CONCATENATE(SheetName02,"\",Tools[[#This Row],[Manufacturer]],IF(Tools[[#This Row],[Model]]&lt;&gt;""," "&amp;Tools[[#This Row],[Model]],),".jpg"),CONCATENATE(Tools[[#This Row],[Manufacturer]],IF(Tools[[#This Row],[Model]]&lt;&gt;""," "&amp;Tools[[#This Row],[Model]],),".jpg")),"")</f>
        <v/>
      </c>
      <c r="AG142" s="5" t="str">
        <f t="shared" si="6"/>
        <v/>
      </c>
    </row>
    <row r="143" spans="2:33" x14ac:dyDescent="0.25">
      <c r="B143" s="80" t="str">
        <f t="shared" si="5"/>
        <v/>
      </c>
      <c r="C143" s="153"/>
      <c r="D143" s="153"/>
      <c r="E143" s="78"/>
      <c r="F143" s="47"/>
      <c r="G143" s="47"/>
      <c r="H143" s="47"/>
      <c r="I143" s="47"/>
      <c r="J143" s="47"/>
      <c r="K143" s="44"/>
      <c r="L143" s="47"/>
      <c r="M143" s="47"/>
      <c r="N143" s="47"/>
      <c r="O143" s="47"/>
      <c r="P143" s="78"/>
      <c r="Q143" s="46"/>
      <c r="R143" s="78"/>
      <c r="S143" s="47"/>
      <c r="T143" s="47"/>
      <c r="U143" s="111"/>
      <c r="V143" s="47"/>
      <c r="W143" s="47"/>
      <c r="X143" s="147"/>
      <c r="Y143" s="78"/>
      <c r="Z143" s="47"/>
      <c r="AA143" s="47"/>
      <c r="AB143" s="47"/>
      <c r="AC143" s="47"/>
      <c r="AD143" s="46"/>
      <c r="AE143" s="90" t="str">
        <f>IF(C143&lt;&gt;"",HYPERLINK(CONCATENATE(SheetName02,"\",Tools[[#This Row],[Manufacturer]],IF(Tools[[#This Row],[Model]]&lt;&gt;""," "&amp;Tools[[#This Row],[Model]],),".jpg"),CONCATENATE(Tools[[#This Row],[Manufacturer]],IF(Tools[[#This Row],[Model]]&lt;&gt;""," "&amp;Tools[[#This Row],[Model]],),".jpg")),"")</f>
        <v/>
      </c>
      <c r="AG143" s="5" t="str">
        <f t="shared" si="6"/>
        <v/>
      </c>
    </row>
    <row r="144" spans="2:33" x14ac:dyDescent="0.25">
      <c r="B144" s="80" t="str">
        <f t="shared" si="5"/>
        <v/>
      </c>
      <c r="C144" s="153"/>
      <c r="D144" s="153"/>
      <c r="E144" s="78"/>
      <c r="F144" s="47"/>
      <c r="G144" s="47"/>
      <c r="H144" s="47"/>
      <c r="I144" s="47"/>
      <c r="J144" s="47"/>
      <c r="K144" s="44"/>
      <c r="L144" s="47"/>
      <c r="M144" s="47"/>
      <c r="N144" s="47"/>
      <c r="O144" s="47"/>
      <c r="P144" s="78"/>
      <c r="Q144" s="46"/>
      <c r="R144" s="78"/>
      <c r="S144" s="47"/>
      <c r="T144" s="47"/>
      <c r="U144" s="111"/>
      <c r="V144" s="47"/>
      <c r="W144" s="47"/>
      <c r="X144" s="147"/>
      <c r="Y144" s="78"/>
      <c r="Z144" s="47"/>
      <c r="AA144" s="47"/>
      <c r="AB144" s="47"/>
      <c r="AC144" s="47"/>
      <c r="AD144" s="46"/>
      <c r="AE144" s="90" t="str">
        <f>IF(C144&lt;&gt;"",HYPERLINK(CONCATENATE(SheetName02,"\",Tools[[#This Row],[Manufacturer]],IF(Tools[[#This Row],[Model]]&lt;&gt;""," "&amp;Tools[[#This Row],[Model]],),".jpg"),CONCATENATE(Tools[[#This Row],[Manufacturer]],IF(Tools[[#This Row],[Model]]&lt;&gt;""," "&amp;Tools[[#This Row],[Model]],),".jpg")),"")</f>
        <v/>
      </c>
      <c r="AG144" s="5" t="str">
        <f t="shared" si="6"/>
        <v/>
      </c>
    </row>
    <row r="145" spans="2:33" x14ac:dyDescent="0.25">
      <c r="B145" s="80" t="str">
        <f t="shared" si="5"/>
        <v/>
      </c>
      <c r="C145" s="153"/>
      <c r="D145" s="153"/>
      <c r="E145" s="78"/>
      <c r="F145" s="47"/>
      <c r="G145" s="47"/>
      <c r="H145" s="47"/>
      <c r="I145" s="47"/>
      <c r="J145" s="47"/>
      <c r="K145" s="44"/>
      <c r="L145" s="47"/>
      <c r="M145" s="47"/>
      <c r="N145" s="47"/>
      <c r="O145" s="47"/>
      <c r="P145" s="78"/>
      <c r="Q145" s="46"/>
      <c r="R145" s="78"/>
      <c r="S145" s="47"/>
      <c r="T145" s="47"/>
      <c r="U145" s="111"/>
      <c r="V145" s="47"/>
      <c r="W145" s="47"/>
      <c r="X145" s="147"/>
      <c r="Y145" s="78"/>
      <c r="Z145" s="47"/>
      <c r="AA145" s="47"/>
      <c r="AB145" s="47"/>
      <c r="AC145" s="47"/>
      <c r="AD145" s="46"/>
      <c r="AE145" s="90" t="str">
        <f>IF(C145&lt;&gt;"",HYPERLINK(CONCATENATE(SheetName02,"\",Tools[[#This Row],[Manufacturer]],IF(Tools[[#This Row],[Model]]&lt;&gt;""," "&amp;Tools[[#This Row],[Model]],),".jpg"),CONCATENATE(Tools[[#This Row],[Manufacturer]],IF(Tools[[#This Row],[Model]]&lt;&gt;""," "&amp;Tools[[#This Row],[Model]],),".jpg")),"")</f>
        <v/>
      </c>
      <c r="AG145" s="5" t="str">
        <f t="shared" si="6"/>
        <v/>
      </c>
    </row>
    <row r="146" spans="2:33" x14ac:dyDescent="0.25">
      <c r="B146" s="80" t="str">
        <f t="shared" si="5"/>
        <v/>
      </c>
      <c r="C146" s="153"/>
      <c r="D146" s="153"/>
      <c r="E146" s="78"/>
      <c r="F146" s="47"/>
      <c r="G146" s="47"/>
      <c r="H146" s="47"/>
      <c r="I146" s="47"/>
      <c r="J146" s="47"/>
      <c r="K146" s="44"/>
      <c r="L146" s="47"/>
      <c r="M146" s="47"/>
      <c r="N146" s="47"/>
      <c r="O146" s="47"/>
      <c r="P146" s="78"/>
      <c r="Q146" s="46"/>
      <c r="R146" s="78"/>
      <c r="S146" s="47"/>
      <c r="T146" s="47"/>
      <c r="U146" s="111"/>
      <c r="V146" s="47"/>
      <c r="W146" s="47"/>
      <c r="X146" s="147"/>
      <c r="Y146" s="78"/>
      <c r="Z146" s="47"/>
      <c r="AA146" s="47"/>
      <c r="AB146" s="47"/>
      <c r="AC146" s="47"/>
      <c r="AD146" s="46"/>
      <c r="AE146" s="90" t="str">
        <f>IF(C146&lt;&gt;"",HYPERLINK(CONCATENATE(SheetName02,"\",Tools[[#This Row],[Manufacturer]],IF(Tools[[#This Row],[Model]]&lt;&gt;""," "&amp;Tools[[#This Row],[Model]],),".jpg"),CONCATENATE(Tools[[#This Row],[Manufacturer]],IF(Tools[[#This Row],[Model]]&lt;&gt;""," "&amp;Tools[[#This Row],[Model]],),".jpg")),"")</f>
        <v/>
      </c>
      <c r="AG146" s="5" t="str">
        <f t="shared" si="6"/>
        <v/>
      </c>
    </row>
    <row r="147" spans="2:33" x14ac:dyDescent="0.25">
      <c r="B147" s="80" t="str">
        <f t="shared" si="5"/>
        <v/>
      </c>
      <c r="C147" s="153"/>
      <c r="D147" s="153"/>
      <c r="E147" s="78"/>
      <c r="F147" s="47"/>
      <c r="G147" s="47"/>
      <c r="H147" s="47"/>
      <c r="I147" s="47"/>
      <c r="J147" s="47"/>
      <c r="K147" s="44"/>
      <c r="L147" s="47"/>
      <c r="M147" s="47"/>
      <c r="N147" s="47"/>
      <c r="O147" s="47"/>
      <c r="P147" s="78"/>
      <c r="Q147" s="46"/>
      <c r="R147" s="78"/>
      <c r="S147" s="47"/>
      <c r="T147" s="47"/>
      <c r="U147" s="111"/>
      <c r="V147" s="47"/>
      <c r="W147" s="47"/>
      <c r="X147" s="147"/>
      <c r="Y147" s="78"/>
      <c r="Z147" s="47"/>
      <c r="AA147" s="47"/>
      <c r="AB147" s="47"/>
      <c r="AC147" s="47"/>
      <c r="AD147" s="46"/>
      <c r="AE147" s="90" t="str">
        <f>IF(C147&lt;&gt;"",HYPERLINK(CONCATENATE(SheetName02,"\",Tools[[#This Row],[Manufacturer]],IF(Tools[[#This Row],[Model]]&lt;&gt;""," "&amp;Tools[[#This Row],[Model]],),".jpg"),CONCATENATE(Tools[[#This Row],[Manufacturer]],IF(Tools[[#This Row],[Model]]&lt;&gt;""," "&amp;Tools[[#This Row],[Model]],),".jpg")),"")</f>
        <v/>
      </c>
      <c r="AG147" s="5" t="str">
        <f t="shared" si="6"/>
        <v/>
      </c>
    </row>
    <row r="148" spans="2:33" x14ac:dyDescent="0.25">
      <c r="B148" s="80" t="str">
        <f t="shared" si="5"/>
        <v/>
      </c>
      <c r="C148" s="153"/>
      <c r="D148" s="153"/>
      <c r="E148" s="78"/>
      <c r="F148" s="47"/>
      <c r="G148" s="47"/>
      <c r="H148" s="47"/>
      <c r="I148" s="47"/>
      <c r="J148" s="47"/>
      <c r="K148" s="44"/>
      <c r="L148" s="47"/>
      <c r="M148" s="47"/>
      <c r="N148" s="47"/>
      <c r="O148" s="47"/>
      <c r="P148" s="78"/>
      <c r="Q148" s="46"/>
      <c r="R148" s="78"/>
      <c r="S148" s="47"/>
      <c r="T148" s="47"/>
      <c r="U148" s="111"/>
      <c r="V148" s="47"/>
      <c r="W148" s="47"/>
      <c r="X148" s="147"/>
      <c r="Y148" s="78"/>
      <c r="Z148" s="47"/>
      <c r="AA148" s="47"/>
      <c r="AB148" s="47"/>
      <c r="AC148" s="47"/>
      <c r="AD148" s="46"/>
      <c r="AE148" s="90" t="str">
        <f>IF(C148&lt;&gt;"",HYPERLINK(CONCATENATE(SheetName02,"\",Tools[[#This Row],[Manufacturer]],IF(Tools[[#This Row],[Model]]&lt;&gt;""," "&amp;Tools[[#This Row],[Model]],),".jpg"),CONCATENATE(Tools[[#This Row],[Manufacturer]],IF(Tools[[#This Row],[Model]]&lt;&gt;""," "&amp;Tools[[#This Row],[Model]],),".jpg")),"")</f>
        <v/>
      </c>
      <c r="AG148" s="5" t="str">
        <f t="shared" si="6"/>
        <v/>
      </c>
    </row>
    <row r="149" spans="2:33" x14ac:dyDescent="0.25">
      <c r="B149" s="80" t="str">
        <f t="shared" si="5"/>
        <v/>
      </c>
      <c r="C149" s="153"/>
      <c r="D149" s="153"/>
      <c r="E149" s="78"/>
      <c r="F149" s="47"/>
      <c r="G149" s="47"/>
      <c r="H149" s="47"/>
      <c r="I149" s="47"/>
      <c r="J149" s="47"/>
      <c r="K149" s="44"/>
      <c r="L149" s="47"/>
      <c r="M149" s="47"/>
      <c r="N149" s="47"/>
      <c r="O149" s="47"/>
      <c r="P149" s="78"/>
      <c r="Q149" s="46"/>
      <c r="R149" s="78"/>
      <c r="S149" s="47"/>
      <c r="T149" s="47"/>
      <c r="U149" s="111"/>
      <c r="V149" s="47"/>
      <c r="W149" s="47"/>
      <c r="X149" s="147"/>
      <c r="Y149" s="78"/>
      <c r="Z149" s="47"/>
      <c r="AA149" s="47"/>
      <c r="AB149" s="47"/>
      <c r="AC149" s="47"/>
      <c r="AD149" s="46"/>
      <c r="AE149" s="90" t="str">
        <f>IF(C149&lt;&gt;"",HYPERLINK(CONCATENATE(SheetName02,"\",Tools[[#This Row],[Manufacturer]],IF(Tools[[#This Row],[Model]]&lt;&gt;""," "&amp;Tools[[#This Row],[Model]],),".jpg"),CONCATENATE(Tools[[#This Row],[Manufacturer]],IF(Tools[[#This Row],[Model]]&lt;&gt;""," "&amp;Tools[[#This Row],[Model]],),".jpg")),"")</f>
        <v/>
      </c>
      <c r="AG149" s="5" t="str">
        <f t="shared" si="6"/>
        <v/>
      </c>
    </row>
    <row r="150" spans="2:33" x14ac:dyDescent="0.25">
      <c r="B150" s="80" t="str">
        <f t="shared" si="5"/>
        <v/>
      </c>
      <c r="C150" s="153"/>
      <c r="D150" s="153"/>
      <c r="E150" s="78"/>
      <c r="F150" s="47"/>
      <c r="G150" s="47"/>
      <c r="H150" s="47"/>
      <c r="I150" s="47"/>
      <c r="J150" s="47"/>
      <c r="K150" s="44"/>
      <c r="L150" s="47"/>
      <c r="M150" s="47"/>
      <c r="N150" s="47"/>
      <c r="O150" s="47"/>
      <c r="P150" s="78"/>
      <c r="Q150" s="46"/>
      <c r="R150" s="78"/>
      <c r="S150" s="47"/>
      <c r="T150" s="47"/>
      <c r="U150" s="111"/>
      <c r="V150" s="47"/>
      <c r="W150" s="47"/>
      <c r="X150" s="147"/>
      <c r="Y150" s="78"/>
      <c r="Z150" s="47"/>
      <c r="AA150" s="47"/>
      <c r="AB150" s="47"/>
      <c r="AC150" s="47"/>
      <c r="AD150" s="46"/>
      <c r="AE150" s="90" t="str">
        <f>IF(C150&lt;&gt;"",HYPERLINK(CONCATENATE(SheetName02,"\",Tools[[#This Row],[Manufacturer]],IF(Tools[[#This Row],[Model]]&lt;&gt;""," "&amp;Tools[[#This Row],[Model]],),".jpg"),CONCATENATE(Tools[[#This Row],[Manufacturer]],IF(Tools[[#This Row],[Model]]&lt;&gt;""," "&amp;Tools[[#This Row],[Model]],),".jpg")),"")</f>
        <v/>
      </c>
      <c r="AG150" s="5" t="str">
        <f t="shared" si="6"/>
        <v/>
      </c>
    </row>
    <row r="151" spans="2:33" x14ac:dyDescent="0.25">
      <c r="B151" s="80" t="str">
        <f t="shared" si="5"/>
        <v/>
      </c>
      <c r="C151" s="153"/>
      <c r="D151" s="153"/>
      <c r="E151" s="78"/>
      <c r="F151" s="47"/>
      <c r="G151" s="47"/>
      <c r="H151" s="47"/>
      <c r="I151" s="47"/>
      <c r="J151" s="47"/>
      <c r="K151" s="44"/>
      <c r="L151" s="47"/>
      <c r="M151" s="47"/>
      <c r="N151" s="47"/>
      <c r="O151" s="47"/>
      <c r="P151" s="78"/>
      <c r="Q151" s="46"/>
      <c r="R151" s="78"/>
      <c r="S151" s="47"/>
      <c r="T151" s="47"/>
      <c r="U151" s="111"/>
      <c r="V151" s="47"/>
      <c r="W151" s="47"/>
      <c r="X151" s="147"/>
      <c r="Y151" s="78"/>
      <c r="Z151" s="47"/>
      <c r="AA151" s="47"/>
      <c r="AB151" s="47"/>
      <c r="AC151" s="47"/>
      <c r="AD151" s="46"/>
      <c r="AE151" s="90" t="str">
        <f>IF(C151&lt;&gt;"",HYPERLINK(CONCATENATE(SheetName02,"\",Tools[[#This Row],[Manufacturer]],IF(Tools[[#This Row],[Model]]&lt;&gt;""," "&amp;Tools[[#This Row],[Model]],),".jpg"),CONCATENATE(Tools[[#This Row],[Manufacturer]],IF(Tools[[#This Row],[Model]]&lt;&gt;""," "&amp;Tools[[#This Row],[Model]],),".jpg")),"")</f>
        <v/>
      </c>
      <c r="AG151" s="5" t="str">
        <f t="shared" si="6"/>
        <v/>
      </c>
    </row>
    <row r="152" spans="2:33" x14ac:dyDescent="0.25">
      <c r="B152" s="80" t="str">
        <f t="shared" si="5"/>
        <v/>
      </c>
      <c r="C152" s="153"/>
      <c r="D152" s="153"/>
      <c r="E152" s="78"/>
      <c r="F152" s="47"/>
      <c r="G152" s="47"/>
      <c r="H152" s="47"/>
      <c r="I152" s="47"/>
      <c r="J152" s="47"/>
      <c r="K152" s="44"/>
      <c r="L152" s="47"/>
      <c r="M152" s="47"/>
      <c r="N152" s="47"/>
      <c r="O152" s="47"/>
      <c r="P152" s="78"/>
      <c r="Q152" s="46"/>
      <c r="R152" s="78"/>
      <c r="S152" s="47"/>
      <c r="T152" s="47"/>
      <c r="U152" s="111"/>
      <c r="V152" s="47"/>
      <c r="W152" s="47"/>
      <c r="X152" s="147"/>
      <c r="Y152" s="78"/>
      <c r="Z152" s="47"/>
      <c r="AA152" s="47"/>
      <c r="AB152" s="47"/>
      <c r="AC152" s="47"/>
      <c r="AD152" s="46"/>
      <c r="AE152" s="90" t="str">
        <f>IF(C152&lt;&gt;"",HYPERLINK(CONCATENATE(SheetName02,"\",Tools[[#This Row],[Manufacturer]],IF(Tools[[#This Row],[Model]]&lt;&gt;""," "&amp;Tools[[#This Row],[Model]],),".jpg"),CONCATENATE(Tools[[#This Row],[Manufacturer]],IF(Tools[[#This Row],[Model]]&lt;&gt;""," "&amp;Tools[[#This Row],[Model]],),".jpg")),"")</f>
        <v/>
      </c>
      <c r="AG152" s="5" t="str">
        <f t="shared" si="6"/>
        <v/>
      </c>
    </row>
    <row r="153" spans="2:33" x14ac:dyDescent="0.25">
      <c r="B153" s="80" t="str">
        <f t="shared" si="5"/>
        <v/>
      </c>
      <c r="C153" s="153"/>
      <c r="D153" s="153"/>
      <c r="E153" s="78"/>
      <c r="F153" s="47"/>
      <c r="G153" s="47"/>
      <c r="H153" s="47"/>
      <c r="I153" s="47"/>
      <c r="J153" s="47"/>
      <c r="K153" s="44"/>
      <c r="L153" s="47"/>
      <c r="M153" s="47"/>
      <c r="N153" s="47"/>
      <c r="O153" s="47"/>
      <c r="P153" s="78"/>
      <c r="Q153" s="46"/>
      <c r="R153" s="78"/>
      <c r="S153" s="47"/>
      <c r="T153" s="47"/>
      <c r="U153" s="111"/>
      <c r="V153" s="47"/>
      <c r="W153" s="47"/>
      <c r="X153" s="147"/>
      <c r="Y153" s="78"/>
      <c r="Z153" s="47"/>
      <c r="AA153" s="47"/>
      <c r="AB153" s="47"/>
      <c r="AC153" s="47"/>
      <c r="AD153" s="46"/>
      <c r="AE153" s="90" t="str">
        <f>IF(C153&lt;&gt;"",HYPERLINK(CONCATENATE(SheetName02,"\",Tools[[#This Row],[Manufacturer]],IF(Tools[[#This Row],[Model]]&lt;&gt;""," "&amp;Tools[[#This Row],[Model]],),".jpg"),CONCATENATE(Tools[[#This Row],[Manufacturer]],IF(Tools[[#This Row],[Model]]&lt;&gt;""," "&amp;Tools[[#This Row],[Model]],),".jpg")),"")</f>
        <v/>
      </c>
      <c r="AG153" s="5" t="str">
        <f t="shared" si="6"/>
        <v/>
      </c>
    </row>
    <row r="154" spans="2:33" x14ac:dyDescent="0.25">
      <c r="B154" s="80" t="str">
        <f t="shared" si="5"/>
        <v/>
      </c>
      <c r="C154" s="153"/>
      <c r="D154" s="153"/>
      <c r="E154" s="78"/>
      <c r="F154" s="47"/>
      <c r="G154" s="47"/>
      <c r="H154" s="47"/>
      <c r="I154" s="47"/>
      <c r="J154" s="47"/>
      <c r="K154" s="44"/>
      <c r="L154" s="47"/>
      <c r="M154" s="47"/>
      <c r="N154" s="47"/>
      <c r="O154" s="47"/>
      <c r="P154" s="78"/>
      <c r="Q154" s="46"/>
      <c r="R154" s="78"/>
      <c r="S154" s="47"/>
      <c r="T154" s="47"/>
      <c r="U154" s="111"/>
      <c r="V154" s="47"/>
      <c r="W154" s="47"/>
      <c r="X154" s="147"/>
      <c r="Y154" s="78"/>
      <c r="Z154" s="47"/>
      <c r="AA154" s="47"/>
      <c r="AB154" s="47"/>
      <c r="AC154" s="47"/>
      <c r="AD154" s="46"/>
      <c r="AE154" s="90" t="str">
        <f>IF(C154&lt;&gt;"",HYPERLINK(CONCATENATE(SheetName02,"\",Tools[[#This Row],[Manufacturer]],IF(Tools[[#This Row],[Model]]&lt;&gt;""," "&amp;Tools[[#This Row],[Model]],),".jpg"),CONCATENATE(Tools[[#This Row],[Manufacturer]],IF(Tools[[#This Row],[Model]]&lt;&gt;""," "&amp;Tools[[#This Row],[Model]],),".jpg")),"")</f>
        <v/>
      </c>
      <c r="AG154" s="5" t="str">
        <f t="shared" si="6"/>
        <v/>
      </c>
    </row>
    <row r="155" spans="2:33" x14ac:dyDescent="0.25">
      <c r="B155" s="80" t="str">
        <f t="shared" si="5"/>
        <v/>
      </c>
      <c r="C155" s="153"/>
      <c r="D155" s="153"/>
      <c r="E155" s="78"/>
      <c r="F155" s="47"/>
      <c r="G155" s="47"/>
      <c r="H155" s="47"/>
      <c r="I155" s="47"/>
      <c r="J155" s="47"/>
      <c r="K155" s="44"/>
      <c r="L155" s="47"/>
      <c r="M155" s="47"/>
      <c r="N155" s="47"/>
      <c r="O155" s="47"/>
      <c r="P155" s="78"/>
      <c r="Q155" s="46"/>
      <c r="R155" s="78"/>
      <c r="S155" s="47"/>
      <c r="T155" s="47"/>
      <c r="U155" s="111"/>
      <c r="V155" s="47"/>
      <c r="W155" s="47"/>
      <c r="X155" s="147"/>
      <c r="Y155" s="78"/>
      <c r="Z155" s="47"/>
      <c r="AA155" s="47"/>
      <c r="AB155" s="47"/>
      <c r="AC155" s="47"/>
      <c r="AD155" s="46"/>
      <c r="AE155" s="90" t="str">
        <f>IF(C155&lt;&gt;"",HYPERLINK(CONCATENATE(SheetName02,"\",Tools[[#This Row],[Manufacturer]],IF(Tools[[#This Row],[Model]]&lt;&gt;""," "&amp;Tools[[#This Row],[Model]],),".jpg"),CONCATENATE(Tools[[#This Row],[Manufacturer]],IF(Tools[[#This Row],[Model]]&lt;&gt;""," "&amp;Tools[[#This Row],[Model]],),".jpg")),"")</f>
        <v/>
      </c>
      <c r="AG155" s="5" t="str">
        <f t="shared" si="6"/>
        <v/>
      </c>
    </row>
    <row r="156" spans="2:33" x14ac:dyDescent="0.25">
      <c r="B156" s="80" t="str">
        <f t="shared" si="5"/>
        <v/>
      </c>
      <c r="C156" s="153"/>
      <c r="D156" s="153"/>
      <c r="E156" s="78"/>
      <c r="F156" s="47"/>
      <c r="G156" s="47"/>
      <c r="H156" s="47"/>
      <c r="I156" s="47"/>
      <c r="J156" s="47"/>
      <c r="K156" s="44"/>
      <c r="L156" s="47"/>
      <c r="M156" s="47"/>
      <c r="N156" s="47"/>
      <c r="O156" s="47"/>
      <c r="P156" s="78"/>
      <c r="Q156" s="46"/>
      <c r="R156" s="78"/>
      <c r="S156" s="47"/>
      <c r="T156" s="47"/>
      <c r="U156" s="111"/>
      <c r="V156" s="47"/>
      <c r="W156" s="47"/>
      <c r="X156" s="147"/>
      <c r="Y156" s="78"/>
      <c r="Z156" s="47"/>
      <c r="AA156" s="47"/>
      <c r="AB156" s="47"/>
      <c r="AC156" s="47"/>
      <c r="AD156" s="46"/>
      <c r="AE156" s="90" t="str">
        <f>IF(C156&lt;&gt;"",HYPERLINK(CONCATENATE(SheetName02,"\",Tools[[#This Row],[Manufacturer]],IF(Tools[[#This Row],[Model]]&lt;&gt;""," "&amp;Tools[[#This Row],[Model]],),".jpg"),CONCATENATE(Tools[[#This Row],[Manufacturer]],IF(Tools[[#This Row],[Model]]&lt;&gt;""," "&amp;Tools[[#This Row],[Model]],),".jpg")),"")</f>
        <v/>
      </c>
      <c r="AG156" s="5" t="str">
        <f t="shared" si="6"/>
        <v/>
      </c>
    </row>
    <row r="157" spans="2:33" x14ac:dyDescent="0.25">
      <c r="B157" s="80" t="str">
        <f t="shared" si="5"/>
        <v/>
      </c>
      <c r="C157" s="153"/>
      <c r="D157" s="153"/>
      <c r="E157" s="78"/>
      <c r="F157" s="47"/>
      <c r="G157" s="47"/>
      <c r="H157" s="47"/>
      <c r="I157" s="47"/>
      <c r="J157" s="47"/>
      <c r="K157" s="44"/>
      <c r="L157" s="47"/>
      <c r="M157" s="47"/>
      <c r="N157" s="47"/>
      <c r="O157" s="47"/>
      <c r="P157" s="78"/>
      <c r="Q157" s="46"/>
      <c r="R157" s="78"/>
      <c r="S157" s="47"/>
      <c r="T157" s="47"/>
      <c r="U157" s="111"/>
      <c r="V157" s="47"/>
      <c r="W157" s="47"/>
      <c r="X157" s="147"/>
      <c r="Y157" s="78"/>
      <c r="Z157" s="47"/>
      <c r="AA157" s="47"/>
      <c r="AB157" s="47"/>
      <c r="AC157" s="47"/>
      <c r="AD157" s="46"/>
      <c r="AE157" s="90" t="str">
        <f>IF(C157&lt;&gt;"",HYPERLINK(CONCATENATE(SheetName02,"\",Tools[[#This Row],[Manufacturer]],IF(Tools[[#This Row],[Model]]&lt;&gt;""," "&amp;Tools[[#This Row],[Model]],),".jpg"),CONCATENATE(Tools[[#This Row],[Manufacturer]],IF(Tools[[#This Row],[Model]]&lt;&gt;""," "&amp;Tools[[#This Row],[Model]],),".jpg")),"")</f>
        <v/>
      </c>
      <c r="AG157" s="5" t="str">
        <f t="shared" si="6"/>
        <v/>
      </c>
    </row>
    <row r="158" spans="2:33" x14ac:dyDescent="0.25">
      <c r="B158" s="80" t="str">
        <f t="shared" si="5"/>
        <v/>
      </c>
      <c r="C158" s="153"/>
      <c r="D158" s="153"/>
      <c r="E158" s="78"/>
      <c r="F158" s="47"/>
      <c r="G158" s="47"/>
      <c r="H158" s="47"/>
      <c r="I158" s="47"/>
      <c r="J158" s="47"/>
      <c r="K158" s="44"/>
      <c r="L158" s="47"/>
      <c r="M158" s="47"/>
      <c r="N158" s="47"/>
      <c r="O158" s="47"/>
      <c r="P158" s="78"/>
      <c r="Q158" s="46"/>
      <c r="R158" s="78"/>
      <c r="S158" s="47"/>
      <c r="T158" s="47"/>
      <c r="U158" s="111"/>
      <c r="V158" s="47"/>
      <c r="W158" s="47"/>
      <c r="X158" s="147"/>
      <c r="Y158" s="78"/>
      <c r="Z158" s="47"/>
      <c r="AA158" s="47"/>
      <c r="AB158" s="47"/>
      <c r="AC158" s="47"/>
      <c r="AD158" s="46"/>
      <c r="AE158" s="90" t="str">
        <f>IF(C158&lt;&gt;"",HYPERLINK(CONCATENATE(SheetName02,"\",Tools[[#This Row],[Manufacturer]],IF(Tools[[#This Row],[Model]]&lt;&gt;""," "&amp;Tools[[#This Row],[Model]],),".jpg"),CONCATENATE(Tools[[#This Row],[Manufacturer]],IF(Tools[[#This Row],[Model]]&lt;&gt;""," "&amp;Tools[[#This Row],[Model]],),".jpg")),"")</f>
        <v/>
      </c>
      <c r="AG158" s="5" t="str">
        <f t="shared" si="6"/>
        <v/>
      </c>
    </row>
    <row r="159" spans="2:33" x14ac:dyDescent="0.25">
      <c r="B159" s="80" t="str">
        <f t="shared" si="5"/>
        <v/>
      </c>
      <c r="C159" s="153"/>
      <c r="D159" s="153"/>
      <c r="E159" s="78"/>
      <c r="F159" s="47"/>
      <c r="G159" s="47"/>
      <c r="H159" s="47"/>
      <c r="I159" s="47"/>
      <c r="J159" s="47"/>
      <c r="K159" s="44"/>
      <c r="L159" s="47"/>
      <c r="M159" s="47"/>
      <c r="N159" s="47"/>
      <c r="O159" s="47"/>
      <c r="P159" s="78"/>
      <c r="Q159" s="46"/>
      <c r="R159" s="78"/>
      <c r="S159" s="47"/>
      <c r="T159" s="47"/>
      <c r="U159" s="111"/>
      <c r="V159" s="47"/>
      <c r="W159" s="47"/>
      <c r="X159" s="147"/>
      <c r="Y159" s="78"/>
      <c r="Z159" s="47"/>
      <c r="AA159" s="47"/>
      <c r="AB159" s="47"/>
      <c r="AC159" s="47"/>
      <c r="AD159" s="46"/>
      <c r="AE159" s="90" t="str">
        <f>IF(C159&lt;&gt;"",HYPERLINK(CONCATENATE(SheetName02,"\",Tools[[#This Row],[Manufacturer]],IF(Tools[[#This Row],[Model]]&lt;&gt;""," "&amp;Tools[[#This Row],[Model]],),".jpg"),CONCATENATE(Tools[[#This Row],[Manufacturer]],IF(Tools[[#This Row],[Model]]&lt;&gt;""," "&amp;Tools[[#This Row],[Model]],),".jpg")),"")</f>
        <v/>
      </c>
      <c r="AG159" s="5" t="str">
        <f t="shared" si="6"/>
        <v/>
      </c>
    </row>
    <row r="160" spans="2:33" x14ac:dyDescent="0.25">
      <c r="B160" s="80" t="str">
        <f t="shared" si="5"/>
        <v/>
      </c>
      <c r="C160" s="153"/>
      <c r="D160" s="153"/>
      <c r="E160" s="78"/>
      <c r="F160" s="47"/>
      <c r="G160" s="47"/>
      <c r="H160" s="47"/>
      <c r="I160" s="47"/>
      <c r="J160" s="47"/>
      <c r="K160" s="44"/>
      <c r="L160" s="47"/>
      <c r="M160" s="47"/>
      <c r="N160" s="47"/>
      <c r="O160" s="47"/>
      <c r="P160" s="78"/>
      <c r="Q160" s="46"/>
      <c r="R160" s="78"/>
      <c r="S160" s="47"/>
      <c r="T160" s="47"/>
      <c r="U160" s="111"/>
      <c r="V160" s="47"/>
      <c r="W160" s="47"/>
      <c r="X160" s="147"/>
      <c r="Y160" s="78"/>
      <c r="Z160" s="47"/>
      <c r="AA160" s="47"/>
      <c r="AB160" s="47"/>
      <c r="AC160" s="47"/>
      <c r="AD160" s="46"/>
      <c r="AE160" s="90" t="str">
        <f>IF(C160&lt;&gt;"",HYPERLINK(CONCATENATE(SheetName02,"\",Tools[[#This Row],[Manufacturer]],IF(Tools[[#This Row],[Model]]&lt;&gt;""," "&amp;Tools[[#This Row],[Model]],),".jpg"),CONCATENATE(Tools[[#This Row],[Manufacturer]],IF(Tools[[#This Row],[Model]]&lt;&gt;""," "&amp;Tools[[#This Row],[Model]],),".jpg")),"")</f>
        <v/>
      </c>
      <c r="AG160" s="5" t="str">
        <f t="shared" si="6"/>
        <v/>
      </c>
    </row>
    <row r="161" spans="2:33" x14ac:dyDescent="0.25">
      <c r="B161" s="80" t="str">
        <f t="shared" si="5"/>
        <v/>
      </c>
      <c r="C161" s="153"/>
      <c r="D161" s="153"/>
      <c r="E161" s="78"/>
      <c r="F161" s="47"/>
      <c r="G161" s="47"/>
      <c r="H161" s="47"/>
      <c r="I161" s="47"/>
      <c r="J161" s="47"/>
      <c r="K161" s="44"/>
      <c r="L161" s="47"/>
      <c r="M161" s="47"/>
      <c r="N161" s="47"/>
      <c r="O161" s="47"/>
      <c r="P161" s="78"/>
      <c r="Q161" s="46"/>
      <c r="R161" s="78"/>
      <c r="S161" s="47"/>
      <c r="T161" s="47"/>
      <c r="U161" s="111"/>
      <c r="V161" s="47"/>
      <c r="W161" s="47"/>
      <c r="X161" s="147"/>
      <c r="Y161" s="78"/>
      <c r="Z161" s="47"/>
      <c r="AA161" s="47"/>
      <c r="AB161" s="47"/>
      <c r="AC161" s="47"/>
      <c r="AD161" s="46"/>
      <c r="AE161" s="90" t="str">
        <f>IF(C161&lt;&gt;"",HYPERLINK(CONCATENATE(SheetName02,"\",Tools[[#This Row],[Manufacturer]],IF(Tools[[#This Row],[Model]]&lt;&gt;""," "&amp;Tools[[#This Row],[Model]],),".jpg"),CONCATENATE(Tools[[#This Row],[Manufacturer]],IF(Tools[[#This Row],[Model]]&lt;&gt;""," "&amp;Tools[[#This Row],[Model]],),".jpg")),"")</f>
        <v/>
      </c>
      <c r="AG161" s="5" t="str">
        <f t="shared" si="6"/>
        <v/>
      </c>
    </row>
    <row r="162" spans="2:33" x14ac:dyDescent="0.25">
      <c r="B162" s="80" t="str">
        <f t="shared" si="5"/>
        <v/>
      </c>
      <c r="C162" s="153"/>
      <c r="D162" s="153"/>
      <c r="E162" s="78"/>
      <c r="F162" s="47"/>
      <c r="G162" s="47"/>
      <c r="H162" s="47"/>
      <c r="I162" s="47"/>
      <c r="J162" s="47"/>
      <c r="K162" s="44"/>
      <c r="L162" s="47"/>
      <c r="M162" s="47"/>
      <c r="N162" s="47"/>
      <c r="O162" s="47"/>
      <c r="P162" s="78"/>
      <c r="Q162" s="46"/>
      <c r="R162" s="78"/>
      <c r="S162" s="47"/>
      <c r="T162" s="47"/>
      <c r="U162" s="111"/>
      <c r="V162" s="47"/>
      <c r="W162" s="47"/>
      <c r="X162" s="147"/>
      <c r="Y162" s="78"/>
      <c r="Z162" s="47"/>
      <c r="AA162" s="47"/>
      <c r="AB162" s="47"/>
      <c r="AC162" s="47"/>
      <c r="AD162" s="46"/>
      <c r="AE162" s="90" t="str">
        <f>IF(C162&lt;&gt;"",HYPERLINK(CONCATENATE(SheetName02,"\",Tools[[#This Row],[Manufacturer]],IF(Tools[[#This Row],[Model]]&lt;&gt;""," "&amp;Tools[[#This Row],[Model]],),".jpg"),CONCATENATE(Tools[[#This Row],[Manufacturer]],IF(Tools[[#This Row],[Model]]&lt;&gt;""," "&amp;Tools[[#This Row],[Model]],),".jpg")),"")</f>
        <v/>
      </c>
      <c r="AG162" s="5" t="str">
        <f t="shared" si="6"/>
        <v/>
      </c>
    </row>
    <row r="163" spans="2:33" x14ac:dyDescent="0.25">
      <c r="B163" s="80" t="str">
        <f t="shared" si="5"/>
        <v/>
      </c>
      <c r="C163" s="153"/>
      <c r="D163" s="153"/>
      <c r="E163" s="78"/>
      <c r="F163" s="47"/>
      <c r="G163" s="47"/>
      <c r="H163" s="47"/>
      <c r="I163" s="47"/>
      <c r="J163" s="47"/>
      <c r="K163" s="44"/>
      <c r="L163" s="47"/>
      <c r="M163" s="47"/>
      <c r="N163" s="47"/>
      <c r="O163" s="47"/>
      <c r="P163" s="78"/>
      <c r="Q163" s="46"/>
      <c r="R163" s="78"/>
      <c r="S163" s="47"/>
      <c r="T163" s="47"/>
      <c r="U163" s="111"/>
      <c r="V163" s="47"/>
      <c r="W163" s="47"/>
      <c r="X163" s="147"/>
      <c r="Y163" s="78"/>
      <c r="Z163" s="47"/>
      <c r="AA163" s="47"/>
      <c r="AB163" s="47"/>
      <c r="AC163" s="47"/>
      <c r="AD163" s="46"/>
      <c r="AE163" s="90" t="str">
        <f>IF(C163&lt;&gt;"",HYPERLINK(CONCATENATE(SheetName02,"\",Tools[[#This Row],[Manufacturer]],IF(Tools[[#This Row],[Model]]&lt;&gt;""," "&amp;Tools[[#This Row],[Model]],),".jpg"),CONCATENATE(Tools[[#This Row],[Manufacturer]],IF(Tools[[#This Row],[Model]]&lt;&gt;""," "&amp;Tools[[#This Row],[Model]],),".jpg")),"")</f>
        <v/>
      </c>
      <c r="AG163" s="5" t="str">
        <f t="shared" si="6"/>
        <v/>
      </c>
    </row>
    <row r="164" spans="2:33" x14ac:dyDescent="0.25">
      <c r="B164" s="80" t="str">
        <f t="shared" si="5"/>
        <v/>
      </c>
      <c r="C164" s="153"/>
      <c r="D164" s="153"/>
      <c r="E164" s="78"/>
      <c r="F164" s="47"/>
      <c r="G164" s="47"/>
      <c r="H164" s="47"/>
      <c r="I164" s="47"/>
      <c r="J164" s="47"/>
      <c r="K164" s="44"/>
      <c r="L164" s="47"/>
      <c r="M164" s="47"/>
      <c r="N164" s="47"/>
      <c r="O164" s="47"/>
      <c r="P164" s="78"/>
      <c r="Q164" s="46"/>
      <c r="R164" s="78"/>
      <c r="S164" s="47"/>
      <c r="T164" s="47"/>
      <c r="U164" s="111"/>
      <c r="V164" s="47"/>
      <c r="W164" s="47"/>
      <c r="X164" s="147"/>
      <c r="Y164" s="78"/>
      <c r="Z164" s="47"/>
      <c r="AA164" s="47"/>
      <c r="AB164" s="47"/>
      <c r="AC164" s="47"/>
      <c r="AD164" s="46"/>
      <c r="AE164" s="90" t="str">
        <f>IF(C164&lt;&gt;"",HYPERLINK(CONCATENATE(SheetName02,"\",Tools[[#This Row],[Manufacturer]],IF(Tools[[#This Row],[Model]]&lt;&gt;""," "&amp;Tools[[#This Row],[Model]],),".jpg"),CONCATENATE(Tools[[#This Row],[Manufacturer]],IF(Tools[[#This Row],[Model]]&lt;&gt;""," "&amp;Tools[[#This Row],[Model]],),".jpg")),"")</f>
        <v/>
      </c>
      <c r="AG164" s="5" t="str">
        <f t="shared" si="6"/>
        <v/>
      </c>
    </row>
    <row r="165" spans="2:33" x14ac:dyDescent="0.25">
      <c r="B165" s="80" t="str">
        <f t="shared" si="5"/>
        <v/>
      </c>
      <c r="C165" s="153"/>
      <c r="D165" s="153"/>
      <c r="E165" s="78"/>
      <c r="F165" s="47"/>
      <c r="G165" s="47"/>
      <c r="H165" s="47"/>
      <c r="I165" s="47"/>
      <c r="J165" s="47"/>
      <c r="K165" s="44"/>
      <c r="L165" s="47"/>
      <c r="M165" s="47"/>
      <c r="N165" s="47"/>
      <c r="O165" s="47"/>
      <c r="P165" s="78"/>
      <c r="Q165" s="46"/>
      <c r="R165" s="78"/>
      <c r="S165" s="47"/>
      <c r="T165" s="47"/>
      <c r="U165" s="111"/>
      <c r="V165" s="47"/>
      <c r="W165" s="47"/>
      <c r="X165" s="147"/>
      <c r="Y165" s="78"/>
      <c r="Z165" s="47"/>
      <c r="AA165" s="47"/>
      <c r="AB165" s="47"/>
      <c r="AC165" s="47"/>
      <c r="AD165" s="46"/>
      <c r="AE165" s="90" t="str">
        <f>IF(C165&lt;&gt;"",HYPERLINK(CONCATENATE(SheetName02,"\",Tools[[#This Row],[Manufacturer]],IF(Tools[[#This Row],[Model]]&lt;&gt;""," "&amp;Tools[[#This Row],[Model]],),".jpg"),CONCATENATE(Tools[[#This Row],[Manufacturer]],IF(Tools[[#This Row],[Model]]&lt;&gt;""," "&amp;Tools[[#This Row],[Model]],),".jpg")),"")</f>
        <v/>
      </c>
      <c r="AG165" s="5" t="str">
        <f t="shared" si="6"/>
        <v/>
      </c>
    </row>
    <row r="166" spans="2:33" x14ac:dyDescent="0.25">
      <c r="B166" s="80" t="str">
        <f t="shared" si="5"/>
        <v/>
      </c>
      <c r="C166" s="153"/>
      <c r="D166" s="153"/>
      <c r="E166" s="78"/>
      <c r="F166" s="47"/>
      <c r="G166" s="47"/>
      <c r="H166" s="47"/>
      <c r="I166" s="47"/>
      <c r="J166" s="47"/>
      <c r="K166" s="44"/>
      <c r="L166" s="47"/>
      <c r="M166" s="47"/>
      <c r="N166" s="47"/>
      <c r="O166" s="47"/>
      <c r="P166" s="78"/>
      <c r="Q166" s="46"/>
      <c r="R166" s="78"/>
      <c r="S166" s="47"/>
      <c r="T166" s="47"/>
      <c r="U166" s="111"/>
      <c r="V166" s="47"/>
      <c r="W166" s="47"/>
      <c r="X166" s="147"/>
      <c r="Y166" s="78"/>
      <c r="Z166" s="47"/>
      <c r="AA166" s="47"/>
      <c r="AB166" s="47"/>
      <c r="AC166" s="47"/>
      <c r="AD166" s="46"/>
      <c r="AE166" s="90" t="str">
        <f>IF(C166&lt;&gt;"",HYPERLINK(CONCATENATE(SheetName02,"\",Tools[[#This Row],[Manufacturer]],IF(Tools[[#This Row],[Model]]&lt;&gt;""," "&amp;Tools[[#This Row],[Model]],),".jpg"),CONCATENATE(Tools[[#This Row],[Manufacturer]],IF(Tools[[#This Row],[Model]]&lt;&gt;""," "&amp;Tools[[#This Row],[Model]],),".jpg")),"")</f>
        <v/>
      </c>
      <c r="AG166" s="5" t="str">
        <f t="shared" si="6"/>
        <v/>
      </c>
    </row>
    <row r="167" spans="2:33" x14ac:dyDescent="0.25">
      <c r="B167" s="80" t="str">
        <f t="shared" si="5"/>
        <v/>
      </c>
      <c r="C167" s="153"/>
      <c r="D167" s="153"/>
      <c r="E167" s="78"/>
      <c r="F167" s="47"/>
      <c r="G167" s="47"/>
      <c r="H167" s="47"/>
      <c r="I167" s="47"/>
      <c r="J167" s="47"/>
      <c r="K167" s="44"/>
      <c r="L167" s="47"/>
      <c r="M167" s="47"/>
      <c r="N167" s="47"/>
      <c r="O167" s="47"/>
      <c r="P167" s="78"/>
      <c r="Q167" s="46"/>
      <c r="R167" s="78"/>
      <c r="S167" s="47"/>
      <c r="T167" s="47"/>
      <c r="U167" s="111"/>
      <c r="V167" s="47"/>
      <c r="W167" s="47"/>
      <c r="X167" s="147"/>
      <c r="Y167" s="78"/>
      <c r="Z167" s="47"/>
      <c r="AA167" s="47"/>
      <c r="AB167" s="47"/>
      <c r="AC167" s="47"/>
      <c r="AD167" s="46"/>
      <c r="AE167" s="90" t="str">
        <f>IF(C167&lt;&gt;"",HYPERLINK(CONCATENATE(SheetName02,"\",Tools[[#This Row],[Manufacturer]],IF(Tools[[#This Row],[Model]]&lt;&gt;""," "&amp;Tools[[#This Row],[Model]],),".jpg"),CONCATENATE(Tools[[#This Row],[Manufacturer]],IF(Tools[[#This Row],[Model]]&lt;&gt;""," "&amp;Tools[[#This Row],[Model]],),".jpg")),"")</f>
        <v/>
      </c>
      <c r="AG167" s="5" t="str">
        <f t="shared" si="6"/>
        <v/>
      </c>
    </row>
    <row r="168" spans="2:33" x14ac:dyDescent="0.25">
      <c r="B168" s="80" t="str">
        <f t="shared" si="5"/>
        <v/>
      </c>
      <c r="C168" s="153"/>
      <c r="D168" s="153"/>
      <c r="E168" s="78"/>
      <c r="F168" s="47"/>
      <c r="G168" s="47"/>
      <c r="H168" s="47"/>
      <c r="I168" s="47"/>
      <c r="J168" s="47"/>
      <c r="K168" s="44"/>
      <c r="L168" s="47"/>
      <c r="M168" s="47"/>
      <c r="N168" s="47"/>
      <c r="O168" s="47"/>
      <c r="P168" s="78"/>
      <c r="Q168" s="46"/>
      <c r="R168" s="78"/>
      <c r="S168" s="47"/>
      <c r="T168" s="47"/>
      <c r="U168" s="111"/>
      <c r="V168" s="47"/>
      <c r="W168" s="47"/>
      <c r="X168" s="147"/>
      <c r="Y168" s="78"/>
      <c r="Z168" s="47"/>
      <c r="AA168" s="47"/>
      <c r="AB168" s="47"/>
      <c r="AC168" s="47"/>
      <c r="AD168" s="46"/>
      <c r="AE168" s="90" t="str">
        <f>IF(C168&lt;&gt;"",HYPERLINK(CONCATENATE(SheetName02,"\",Tools[[#This Row],[Manufacturer]],IF(Tools[[#This Row],[Model]]&lt;&gt;""," "&amp;Tools[[#This Row],[Model]],),".jpg"),CONCATENATE(Tools[[#This Row],[Manufacturer]],IF(Tools[[#This Row],[Model]]&lt;&gt;""," "&amp;Tools[[#This Row],[Model]],),".jpg")),"")</f>
        <v/>
      </c>
      <c r="AG168" s="5" t="str">
        <f t="shared" si="6"/>
        <v/>
      </c>
    </row>
    <row r="169" spans="2:33" x14ac:dyDescent="0.25">
      <c r="B169" s="80" t="str">
        <f t="shared" si="5"/>
        <v/>
      </c>
      <c r="C169" s="153"/>
      <c r="D169" s="153"/>
      <c r="E169" s="78"/>
      <c r="F169" s="47"/>
      <c r="G169" s="47"/>
      <c r="H169" s="47"/>
      <c r="I169" s="47"/>
      <c r="J169" s="47"/>
      <c r="K169" s="44"/>
      <c r="L169" s="47"/>
      <c r="M169" s="47"/>
      <c r="N169" s="47"/>
      <c r="O169" s="47"/>
      <c r="P169" s="78"/>
      <c r="Q169" s="46"/>
      <c r="R169" s="78"/>
      <c r="S169" s="47"/>
      <c r="T169" s="47"/>
      <c r="U169" s="111"/>
      <c r="V169" s="47"/>
      <c r="W169" s="47"/>
      <c r="X169" s="147"/>
      <c r="Y169" s="78"/>
      <c r="Z169" s="47"/>
      <c r="AA169" s="47"/>
      <c r="AB169" s="47"/>
      <c r="AC169" s="47"/>
      <c r="AD169" s="46"/>
      <c r="AE169" s="90" t="str">
        <f>IF(C169&lt;&gt;"",HYPERLINK(CONCATENATE(SheetName02,"\",Tools[[#This Row],[Manufacturer]],IF(Tools[[#This Row],[Model]]&lt;&gt;""," "&amp;Tools[[#This Row],[Model]],),".jpg"),CONCATENATE(Tools[[#This Row],[Manufacturer]],IF(Tools[[#This Row],[Model]]&lt;&gt;""," "&amp;Tools[[#This Row],[Model]],),".jpg")),"")</f>
        <v/>
      </c>
      <c r="AG169" s="5" t="str">
        <f t="shared" si="6"/>
        <v/>
      </c>
    </row>
    <row r="170" spans="2:33" x14ac:dyDescent="0.25">
      <c r="B170" s="80" t="str">
        <f t="shared" si="5"/>
        <v/>
      </c>
      <c r="C170" s="153"/>
      <c r="D170" s="153"/>
      <c r="E170" s="78"/>
      <c r="F170" s="47"/>
      <c r="G170" s="47"/>
      <c r="H170" s="47"/>
      <c r="I170" s="47"/>
      <c r="J170" s="47"/>
      <c r="K170" s="44"/>
      <c r="L170" s="47"/>
      <c r="M170" s="47"/>
      <c r="N170" s="47"/>
      <c r="O170" s="47"/>
      <c r="P170" s="78"/>
      <c r="Q170" s="46"/>
      <c r="R170" s="78"/>
      <c r="S170" s="47"/>
      <c r="T170" s="47"/>
      <c r="U170" s="111"/>
      <c r="V170" s="47"/>
      <c r="W170" s="47"/>
      <c r="X170" s="147"/>
      <c r="Y170" s="78"/>
      <c r="Z170" s="47"/>
      <c r="AA170" s="47"/>
      <c r="AB170" s="47"/>
      <c r="AC170" s="47"/>
      <c r="AD170" s="46"/>
      <c r="AE170" s="90" t="str">
        <f>IF(C170&lt;&gt;"",HYPERLINK(CONCATENATE(SheetName02,"\",Tools[[#This Row],[Manufacturer]],IF(Tools[[#This Row],[Model]]&lt;&gt;""," "&amp;Tools[[#This Row],[Model]],),".jpg"),CONCATENATE(Tools[[#This Row],[Manufacturer]],IF(Tools[[#This Row],[Model]]&lt;&gt;""," "&amp;Tools[[#This Row],[Model]],),".jpg")),"")</f>
        <v/>
      </c>
      <c r="AG170" s="5" t="str">
        <f t="shared" si="6"/>
        <v/>
      </c>
    </row>
    <row r="171" spans="2:33" x14ac:dyDescent="0.25">
      <c r="B171" s="80" t="str">
        <f t="shared" si="5"/>
        <v/>
      </c>
      <c r="C171" s="153"/>
      <c r="D171" s="153"/>
      <c r="E171" s="78"/>
      <c r="F171" s="47"/>
      <c r="G171" s="47"/>
      <c r="H171" s="47"/>
      <c r="I171" s="47"/>
      <c r="J171" s="47"/>
      <c r="K171" s="44"/>
      <c r="L171" s="47"/>
      <c r="M171" s="47"/>
      <c r="N171" s="47"/>
      <c r="O171" s="47"/>
      <c r="P171" s="78"/>
      <c r="Q171" s="46"/>
      <c r="R171" s="78"/>
      <c r="S171" s="47"/>
      <c r="T171" s="47"/>
      <c r="U171" s="111"/>
      <c r="V171" s="47"/>
      <c r="W171" s="47"/>
      <c r="X171" s="147"/>
      <c r="Y171" s="78"/>
      <c r="Z171" s="47"/>
      <c r="AA171" s="47"/>
      <c r="AB171" s="47"/>
      <c r="AC171" s="47"/>
      <c r="AD171" s="46"/>
      <c r="AE171" s="90" t="str">
        <f>IF(C171&lt;&gt;"",HYPERLINK(CONCATENATE(SheetName02,"\",Tools[[#This Row],[Manufacturer]],IF(Tools[[#This Row],[Model]]&lt;&gt;""," "&amp;Tools[[#This Row],[Model]],),".jpg"),CONCATENATE(Tools[[#This Row],[Manufacturer]],IF(Tools[[#This Row],[Model]]&lt;&gt;""," "&amp;Tools[[#This Row],[Model]],),".jpg")),"")</f>
        <v/>
      </c>
      <c r="AG171" s="5" t="str">
        <f t="shared" si="6"/>
        <v/>
      </c>
    </row>
    <row r="172" spans="2:33" x14ac:dyDescent="0.25">
      <c r="B172" s="80" t="str">
        <f t="shared" si="5"/>
        <v/>
      </c>
      <c r="C172" s="153"/>
      <c r="D172" s="153"/>
      <c r="E172" s="78"/>
      <c r="F172" s="47"/>
      <c r="G172" s="47"/>
      <c r="H172" s="47"/>
      <c r="I172" s="47"/>
      <c r="J172" s="47"/>
      <c r="K172" s="44"/>
      <c r="L172" s="47"/>
      <c r="M172" s="47"/>
      <c r="N172" s="47"/>
      <c r="O172" s="47"/>
      <c r="P172" s="78"/>
      <c r="Q172" s="46"/>
      <c r="R172" s="78"/>
      <c r="S172" s="47"/>
      <c r="T172" s="47"/>
      <c r="U172" s="111"/>
      <c r="V172" s="47"/>
      <c r="W172" s="47"/>
      <c r="X172" s="147"/>
      <c r="Y172" s="78"/>
      <c r="Z172" s="47"/>
      <c r="AA172" s="47"/>
      <c r="AB172" s="47"/>
      <c r="AC172" s="47"/>
      <c r="AD172" s="46"/>
      <c r="AE172" s="90" t="str">
        <f>IF(C172&lt;&gt;"",HYPERLINK(CONCATENATE(SheetName02,"\",Tools[[#This Row],[Manufacturer]],IF(Tools[[#This Row],[Model]]&lt;&gt;""," "&amp;Tools[[#This Row],[Model]],),".jpg"),CONCATENATE(Tools[[#This Row],[Manufacturer]],IF(Tools[[#This Row],[Model]]&lt;&gt;""," "&amp;Tools[[#This Row],[Model]],),".jpg")),"")</f>
        <v/>
      </c>
      <c r="AG172" s="5" t="str">
        <f t="shared" si="6"/>
        <v/>
      </c>
    </row>
    <row r="173" spans="2:33" x14ac:dyDescent="0.25">
      <c r="B173" s="80" t="str">
        <f t="shared" si="5"/>
        <v/>
      </c>
      <c r="C173" s="153"/>
      <c r="D173" s="153"/>
      <c r="E173" s="78"/>
      <c r="F173" s="47"/>
      <c r="G173" s="47"/>
      <c r="H173" s="47"/>
      <c r="I173" s="47"/>
      <c r="J173" s="47"/>
      <c r="K173" s="44"/>
      <c r="L173" s="47"/>
      <c r="M173" s="47"/>
      <c r="N173" s="47"/>
      <c r="O173" s="47"/>
      <c r="P173" s="78"/>
      <c r="Q173" s="46"/>
      <c r="R173" s="78"/>
      <c r="S173" s="47"/>
      <c r="T173" s="47"/>
      <c r="U173" s="111"/>
      <c r="V173" s="47"/>
      <c r="W173" s="47"/>
      <c r="X173" s="147"/>
      <c r="Y173" s="78"/>
      <c r="Z173" s="47"/>
      <c r="AA173" s="47"/>
      <c r="AB173" s="47"/>
      <c r="AC173" s="47"/>
      <c r="AD173" s="46"/>
      <c r="AE173" s="90" t="str">
        <f>IF(C173&lt;&gt;"",HYPERLINK(CONCATENATE(SheetName02,"\",Tools[[#This Row],[Manufacturer]],IF(Tools[[#This Row],[Model]]&lt;&gt;""," "&amp;Tools[[#This Row],[Model]],),".jpg"),CONCATENATE(Tools[[#This Row],[Manufacturer]],IF(Tools[[#This Row],[Model]]&lt;&gt;""," "&amp;Tools[[#This Row],[Model]],),".jpg")),"")</f>
        <v/>
      </c>
      <c r="AG173" s="5" t="str">
        <f t="shared" si="6"/>
        <v/>
      </c>
    </row>
    <row r="174" spans="2:33" x14ac:dyDescent="0.25">
      <c r="B174" s="80" t="str">
        <f t="shared" si="5"/>
        <v/>
      </c>
      <c r="C174" s="153"/>
      <c r="D174" s="153"/>
      <c r="E174" s="78"/>
      <c r="F174" s="47"/>
      <c r="G174" s="47"/>
      <c r="H174" s="47"/>
      <c r="I174" s="47"/>
      <c r="J174" s="47"/>
      <c r="K174" s="44"/>
      <c r="L174" s="47"/>
      <c r="M174" s="47"/>
      <c r="N174" s="47"/>
      <c r="O174" s="47"/>
      <c r="P174" s="78"/>
      <c r="Q174" s="46"/>
      <c r="R174" s="78"/>
      <c r="S174" s="47"/>
      <c r="T174" s="47"/>
      <c r="U174" s="111"/>
      <c r="V174" s="47"/>
      <c r="W174" s="47"/>
      <c r="X174" s="147"/>
      <c r="Y174" s="78"/>
      <c r="Z174" s="47"/>
      <c r="AA174" s="47"/>
      <c r="AB174" s="47"/>
      <c r="AC174" s="47"/>
      <c r="AD174" s="46"/>
      <c r="AE174" s="90" t="str">
        <f>IF(C174&lt;&gt;"",HYPERLINK(CONCATENATE(SheetName02,"\",Tools[[#This Row],[Manufacturer]],IF(Tools[[#This Row],[Model]]&lt;&gt;""," "&amp;Tools[[#This Row],[Model]],),".jpg"),CONCATENATE(Tools[[#This Row],[Manufacturer]],IF(Tools[[#This Row],[Model]]&lt;&gt;""," "&amp;Tools[[#This Row],[Model]],),".jpg")),"")</f>
        <v/>
      </c>
      <c r="AG174" s="5" t="str">
        <f t="shared" si="6"/>
        <v/>
      </c>
    </row>
    <row r="175" spans="2:33" x14ac:dyDescent="0.25">
      <c r="B175" s="80" t="str">
        <f t="shared" si="5"/>
        <v/>
      </c>
      <c r="C175" s="153"/>
      <c r="D175" s="153"/>
      <c r="E175" s="78"/>
      <c r="F175" s="47"/>
      <c r="G175" s="47"/>
      <c r="H175" s="47"/>
      <c r="I175" s="47"/>
      <c r="J175" s="47"/>
      <c r="K175" s="44"/>
      <c r="L175" s="47"/>
      <c r="M175" s="47"/>
      <c r="N175" s="47"/>
      <c r="O175" s="47"/>
      <c r="P175" s="78"/>
      <c r="Q175" s="46"/>
      <c r="R175" s="78"/>
      <c r="S175" s="47"/>
      <c r="T175" s="47"/>
      <c r="U175" s="111"/>
      <c r="V175" s="47"/>
      <c r="W175" s="47"/>
      <c r="X175" s="147"/>
      <c r="Y175" s="78"/>
      <c r="Z175" s="47"/>
      <c r="AA175" s="47"/>
      <c r="AB175" s="47"/>
      <c r="AC175" s="47"/>
      <c r="AD175" s="46"/>
      <c r="AE175" s="90" t="str">
        <f>IF(C175&lt;&gt;"",HYPERLINK(CONCATENATE(SheetName02,"\",Tools[[#This Row],[Manufacturer]],IF(Tools[[#This Row],[Model]]&lt;&gt;""," "&amp;Tools[[#This Row],[Model]],),".jpg"),CONCATENATE(Tools[[#This Row],[Manufacturer]],IF(Tools[[#This Row],[Model]]&lt;&gt;""," "&amp;Tools[[#This Row],[Model]],),".jpg")),"")</f>
        <v/>
      </c>
      <c r="AG175" s="5" t="str">
        <f t="shared" si="6"/>
        <v/>
      </c>
    </row>
    <row r="176" spans="2:33" x14ac:dyDescent="0.25">
      <c r="B176" s="80" t="str">
        <f t="shared" si="5"/>
        <v/>
      </c>
      <c r="C176" s="153"/>
      <c r="D176" s="153"/>
      <c r="E176" s="78"/>
      <c r="F176" s="47"/>
      <c r="G176" s="47"/>
      <c r="H176" s="47"/>
      <c r="I176" s="47"/>
      <c r="J176" s="47"/>
      <c r="K176" s="44"/>
      <c r="L176" s="47"/>
      <c r="M176" s="47"/>
      <c r="N176" s="47"/>
      <c r="O176" s="47"/>
      <c r="P176" s="78"/>
      <c r="Q176" s="46"/>
      <c r="R176" s="78"/>
      <c r="S176" s="47"/>
      <c r="T176" s="47"/>
      <c r="U176" s="111"/>
      <c r="V176" s="47"/>
      <c r="W176" s="47"/>
      <c r="X176" s="147"/>
      <c r="Y176" s="78"/>
      <c r="Z176" s="47"/>
      <c r="AA176" s="47"/>
      <c r="AB176" s="47"/>
      <c r="AC176" s="47"/>
      <c r="AD176" s="46"/>
      <c r="AE176" s="90" t="str">
        <f>IF(C176&lt;&gt;"",HYPERLINK(CONCATENATE(SheetName02,"\",Tools[[#This Row],[Manufacturer]],IF(Tools[[#This Row],[Model]]&lt;&gt;""," "&amp;Tools[[#This Row],[Model]],),".jpg"),CONCATENATE(Tools[[#This Row],[Manufacturer]],IF(Tools[[#This Row],[Model]]&lt;&gt;""," "&amp;Tools[[#This Row],[Model]],),".jpg")),"")</f>
        <v/>
      </c>
      <c r="AG176" s="5" t="str">
        <f t="shared" si="6"/>
        <v/>
      </c>
    </row>
    <row r="177" spans="2:33" x14ac:dyDescent="0.25">
      <c r="B177" s="80" t="str">
        <f t="shared" si="5"/>
        <v/>
      </c>
      <c r="C177" s="153"/>
      <c r="D177" s="153"/>
      <c r="E177" s="78"/>
      <c r="F177" s="47"/>
      <c r="G177" s="47"/>
      <c r="H177" s="47"/>
      <c r="I177" s="47"/>
      <c r="J177" s="47"/>
      <c r="K177" s="44"/>
      <c r="L177" s="47"/>
      <c r="M177" s="47"/>
      <c r="N177" s="47"/>
      <c r="O177" s="47"/>
      <c r="P177" s="78"/>
      <c r="Q177" s="46"/>
      <c r="R177" s="78"/>
      <c r="S177" s="47"/>
      <c r="T177" s="47"/>
      <c r="U177" s="111"/>
      <c r="V177" s="47"/>
      <c r="W177" s="47"/>
      <c r="X177" s="147"/>
      <c r="Y177" s="78"/>
      <c r="Z177" s="47"/>
      <c r="AA177" s="47"/>
      <c r="AB177" s="47"/>
      <c r="AC177" s="47"/>
      <c r="AD177" s="46"/>
      <c r="AE177" s="90" t="str">
        <f>IF(C177&lt;&gt;"",HYPERLINK(CONCATENATE(SheetName02,"\",Tools[[#This Row],[Manufacturer]],IF(Tools[[#This Row],[Model]]&lt;&gt;""," "&amp;Tools[[#This Row],[Model]],),".jpg"),CONCATENATE(Tools[[#This Row],[Manufacturer]],IF(Tools[[#This Row],[Model]]&lt;&gt;""," "&amp;Tools[[#This Row],[Model]],),".jpg")),"")</f>
        <v/>
      </c>
      <c r="AG177" s="5" t="str">
        <f t="shared" si="6"/>
        <v/>
      </c>
    </row>
    <row r="178" spans="2:33" x14ac:dyDescent="0.25">
      <c r="B178" s="80" t="str">
        <f t="shared" si="5"/>
        <v/>
      </c>
      <c r="C178" s="153"/>
      <c r="D178" s="153"/>
      <c r="E178" s="78"/>
      <c r="F178" s="47"/>
      <c r="G178" s="47"/>
      <c r="H178" s="47"/>
      <c r="I178" s="47"/>
      <c r="J178" s="47"/>
      <c r="K178" s="44"/>
      <c r="L178" s="47"/>
      <c r="M178" s="47"/>
      <c r="N178" s="47"/>
      <c r="O178" s="47"/>
      <c r="P178" s="78"/>
      <c r="Q178" s="46"/>
      <c r="R178" s="78"/>
      <c r="S178" s="47"/>
      <c r="T178" s="47"/>
      <c r="U178" s="111"/>
      <c r="V178" s="47"/>
      <c r="W178" s="47"/>
      <c r="X178" s="147"/>
      <c r="Y178" s="78"/>
      <c r="Z178" s="47"/>
      <c r="AA178" s="47"/>
      <c r="AB178" s="47"/>
      <c r="AC178" s="47"/>
      <c r="AD178" s="46"/>
      <c r="AE178" s="90" t="str">
        <f>IF(C178&lt;&gt;"",HYPERLINK(CONCATENATE(SheetName02,"\",Tools[[#This Row],[Manufacturer]],IF(Tools[[#This Row],[Model]]&lt;&gt;""," "&amp;Tools[[#This Row],[Model]],),".jpg"),CONCATENATE(Tools[[#This Row],[Manufacturer]],IF(Tools[[#This Row],[Model]]&lt;&gt;""," "&amp;Tools[[#This Row],[Model]],),".jpg")),"")</f>
        <v/>
      </c>
      <c r="AG178" s="5" t="str">
        <f t="shared" si="6"/>
        <v/>
      </c>
    </row>
    <row r="179" spans="2:33" x14ac:dyDescent="0.25">
      <c r="B179" s="80" t="str">
        <f t="shared" si="5"/>
        <v/>
      </c>
      <c r="C179" s="153"/>
      <c r="D179" s="153"/>
      <c r="E179" s="78"/>
      <c r="F179" s="47"/>
      <c r="G179" s="47"/>
      <c r="H179" s="47"/>
      <c r="I179" s="47"/>
      <c r="J179" s="47"/>
      <c r="K179" s="44"/>
      <c r="L179" s="47"/>
      <c r="M179" s="47"/>
      <c r="N179" s="47"/>
      <c r="O179" s="47"/>
      <c r="P179" s="78"/>
      <c r="Q179" s="46"/>
      <c r="R179" s="78"/>
      <c r="S179" s="47"/>
      <c r="T179" s="47"/>
      <c r="U179" s="111"/>
      <c r="V179" s="47"/>
      <c r="W179" s="47"/>
      <c r="X179" s="147"/>
      <c r="Y179" s="78"/>
      <c r="Z179" s="47"/>
      <c r="AA179" s="47"/>
      <c r="AB179" s="47"/>
      <c r="AC179" s="47"/>
      <c r="AD179" s="46"/>
      <c r="AE179" s="90" t="str">
        <f>IF(C179&lt;&gt;"",HYPERLINK(CONCATENATE(SheetName02,"\",Tools[[#This Row],[Manufacturer]],IF(Tools[[#This Row],[Model]]&lt;&gt;""," "&amp;Tools[[#This Row],[Model]],),".jpg"),CONCATENATE(Tools[[#This Row],[Manufacturer]],IF(Tools[[#This Row],[Model]]&lt;&gt;""," "&amp;Tools[[#This Row],[Model]],),".jpg")),"")</f>
        <v/>
      </c>
      <c r="AG179" s="5" t="str">
        <f t="shared" si="6"/>
        <v/>
      </c>
    </row>
    <row r="180" spans="2:33" x14ac:dyDescent="0.25">
      <c r="B180" s="80" t="str">
        <f t="shared" si="5"/>
        <v/>
      </c>
      <c r="C180" s="153"/>
      <c r="D180" s="153"/>
      <c r="E180" s="78"/>
      <c r="F180" s="47"/>
      <c r="G180" s="47"/>
      <c r="H180" s="47"/>
      <c r="I180" s="47"/>
      <c r="J180" s="47"/>
      <c r="K180" s="44"/>
      <c r="L180" s="47"/>
      <c r="M180" s="47"/>
      <c r="N180" s="47"/>
      <c r="O180" s="47"/>
      <c r="P180" s="78"/>
      <c r="Q180" s="46"/>
      <c r="R180" s="78"/>
      <c r="S180" s="47"/>
      <c r="T180" s="47"/>
      <c r="U180" s="111"/>
      <c r="V180" s="47"/>
      <c r="W180" s="47"/>
      <c r="X180" s="147"/>
      <c r="Y180" s="78"/>
      <c r="Z180" s="47"/>
      <c r="AA180" s="47"/>
      <c r="AB180" s="47"/>
      <c r="AC180" s="47"/>
      <c r="AD180" s="46"/>
      <c r="AE180" s="90" t="str">
        <f>IF(C180&lt;&gt;"",HYPERLINK(CONCATENATE(SheetName02,"\",Tools[[#This Row],[Manufacturer]],IF(Tools[[#This Row],[Model]]&lt;&gt;""," "&amp;Tools[[#This Row],[Model]],),".jpg"),CONCATENATE(Tools[[#This Row],[Manufacturer]],IF(Tools[[#This Row],[Model]]&lt;&gt;""," "&amp;Tools[[#This Row],[Model]],),".jpg")),"")</f>
        <v/>
      </c>
      <c r="AG180" s="5" t="str">
        <f t="shared" si="6"/>
        <v/>
      </c>
    </row>
    <row r="181" spans="2:33" x14ac:dyDescent="0.25">
      <c r="B181" s="80" t="str">
        <f t="shared" si="5"/>
        <v/>
      </c>
      <c r="C181" s="153"/>
      <c r="D181" s="153"/>
      <c r="E181" s="78"/>
      <c r="F181" s="47"/>
      <c r="G181" s="47"/>
      <c r="H181" s="47"/>
      <c r="I181" s="47"/>
      <c r="J181" s="47"/>
      <c r="K181" s="44"/>
      <c r="L181" s="47"/>
      <c r="M181" s="47"/>
      <c r="N181" s="47"/>
      <c r="O181" s="47"/>
      <c r="P181" s="78"/>
      <c r="Q181" s="46"/>
      <c r="R181" s="78"/>
      <c r="S181" s="47"/>
      <c r="T181" s="47"/>
      <c r="U181" s="111"/>
      <c r="V181" s="47"/>
      <c r="W181" s="47"/>
      <c r="X181" s="147"/>
      <c r="Y181" s="78"/>
      <c r="Z181" s="47"/>
      <c r="AA181" s="47"/>
      <c r="AB181" s="47"/>
      <c r="AC181" s="47"/>
      <c r="AD181" s="46"/>
      <c r="AE181" s="90" t="str">
        <f>IF(C181&lt;&gt;"",HYPERLINK(CONCATENATE(SheetName02,"\",Tools[[#This Row],[Manufacturer]],IF(Tools[[#This Row],[Model]]&lt;&gt;""," "&amp;Tools[[#This Row],[Model]],),".jpg"),CONCATENATE(Tools[[#This Row],[Manufacturer]],IF(Tools[[#This Row],[Model]]&lt;&gt;""," "&amp;Tools[[#This Row],[Model]],),".jpg")),"")</f>
        <v/>
      </c>
      <c r="AG181" s="5" t="str">
        <f t="shared" si="6"/>
        <v/>
      </c>
    </row>
    <row r="182" spans="2:33" x14ac:dyDescent="0.25">
      <c r="B182" s="80" t="str">
        <f t="shared" si="5"/>
        <v/>
      </c>
      <c r="C182" s="153"/>
      <c r="D182" s="153"/>
      <c r="E182" s="78"/>
      <c r="F182" s="47"/>
      <c r="G182" s="47"/>
      <c r="H182" s="47"/>
      <c r="I182" s="47"/>
      <c r="J182" s="47"/>
      <c r="K182" s="44"/>
      <c r="L182" s="47"/>
      <c r="M182" s="47"/>
      <c r="N182" s="47"/>
      <c r="O182" s="47"/>
      <c r="P182" s="78"/>
      <c r="Q182" s="46"/>
      <c r="R182" s="78"/>
      <c r="S182" s="47"/>
      <c r="T182" s="47"/>
      <c r="U182" s="111"/>
      <c r="V182" s="47"/>
      <c r="W182" s="47"/>
      <c r="X182" s="147"/>
      <c r="Y182" s="78"/>
      <c r="Z182" s="47"/>
      <c r="AA182" s="47"/>
      <c r="AB182" s="47"/>
      <c r="AC182" s="47"/>
      <c r="AD182" s="46"/>
      <c r="AE182" s="90" t="str">
        <f>IF(C182&lt;&gt;"",HYPERLINK(CONCATENATE(SheetName02,"\",Tools[[#This Row],[Manufacturer]],IF(Tools[[#This Row],[Model]]&lt;&gt;""," "&amp;Tools[[#This Row],[Model]],),".jpg"),CONCATENATE(Tools[[#This Row],[Manufacturer]],IF(Tools[[#This Row],[Model]]&lt;&gt;""," "&amp;Tools[[#This Row],[Model]],),".jpg")),"")</f>
        <v/>
      </c>
      <c r="AG182" s="5" t="str">
        <f t="shared" si="6"/>
        <v/>
      </c>
    </row>
    <row r="183" spans="2:33" x14ac:dyDescent="0.25">
      <c r="B183" s="80" t="str">
        <f t="shared" si="5"/>
        <v/>
      </c>
      <c r="C183" s="153"/>
      <c r="D183" s="153"/>
      <c r="E183" s="78"/>
      <c r="F183" s="47"/>
      <c r="G183" s="47"/>
      <c r="H183" s="47"/>
      <c r="I183" s="47"/>
      <c r="J183" s="47"/>
      <c r="K183" s="44"/>
      <c r="L183" s="47"/>
      <c r="M183" s="47"/>
      <c r="N183" s="47"/>
      <c r="O183" s="47"/>
      <c r="P183" s="78"/>
      <c r="Q183" s="46"/>
      <c r="R183" s="78"/>
      <c r="S183" s="47"/>
      <c r="T183" s="47"/>
      <c r="U183" s="111"/>
      <c r="V183" s="47"/>
      <c r="W183" s="47"/>
      <c r="X183" s="147"/>
      <c r="Y183" s="78"/>
      <c r="Z183" s="47"/>
      <c r="AA183" s="47"/>
      <c r="AB183" s="47"/>
      <c r="AC183" s="47"/>
      <c r="AD183" s="46"/>
      <c r="AE183" s="90" t="str">
        <f>IF(C183&lt;&gt;"",HYPERLINK(CONCATENATE(SheetName02,"\",Tools[[#This Row],[Manufacturer]],IF(Tools[[#This Row],[Model]]&lt;&gt;""," "&amp;Tools[[#This Row],[Model]],),".jpg"),CONCATENATE(Tools[[#This Row],[Manufacturer]],IF(Tools[[#This Row],[Model]]&lt;&gt;""," "&amp;Tools[[#This Row],[Model]],),".jpg")),"")</f>
        <v/>
      </c>
      <c r="AG183" s="5" t="str">
        <f t="shared" si="6"/>
        <v/>
      </c>
    </row>
    <row r="184" spans="2:33" x14ac:dyDescent="0.25">
      <c r="B184" s="80" t="str">
        <f t="shared" si="5"/>
        <v/>
      </c>
      <c r="C184" s="153"/>
      <c r="D184" s="153"/>
      <c r="E184" s="78"/>
      <c r="F184" s="47"/>
      <c r="G184" s="47"/>
      <c r="H184" s="47"/>
      <c r="I184" s="47"/>
      <c r="J184" s="47"/>
      <c r="K184" s="44"/>
      <c r="L184" s="47"/>
      <c r="M184" s="47"/>
      <c r="N184" s="47"/>
      <c r="O184" s="47"/>
      <c r="P184" s="78"/>
      <c r="Q184" s="46"/>
      <c r="R184" s="78"/>
      <c r="S184" s="47"/>
      <c r="T184" s="47"/>
      <c r="U184" s="111"/>
      <c r="V184" s="47"/>
      <c r="W184" s="47"/>
      <c r="X184" s="147"/>
      <c r="Y184" s="78"/>
      <c r="Z184" s="47"/>
      <c r="AA184" s="47"/>
      <c r="AB184" s="47"/>
      <c r="AC184" s="47"/>
      <c r="AD184" s="46"/>
      <c r="AE184" s="90" t="str">
        <f>IF(C184&lt;&gt;"",HYPERLINK(CONCATENATE(SheetName02,"\",Tools[[#This Row],[Manufacturer]],IF(Tools[[#This Row],[Model]]&lt;&gt;""," "&amp;Tools[[#This Row],[Model]],),".jpg"),CONCATENATE(Tools[[#This Row],[Manufacturer]],IF(Tools[[#This Row],[Model]]&lt;&gt;""," "&amp;Tools[[#This Row],[Model]],),".jpg")),"")</f>
        <v/>
      </c>
      <c r="AG184" s="5" t="str">
        <f t="shared" si="6"/>
        <v/>
      </c>
    </row>
    <row r="185" spans="2:33" x14ac:dyDescent="0.25">
      <c r="B185" s="80" t="str">
        <f t="shared" si="5"/>
        <v/>
      </c>
      <c r="C185" s="153"/>
      <c r="D185" s="153"/>
      <c r="E185" s="78"/>
      <c r="F185" s="47"/>
      <c r="G185" s="47"/>
      <c r="H185" s="47"/>
      <c r="I185" s="47"/>
      <c r="J185" s="47"/>
      <c r="K185" s="44"/>
      <c r="L185" s="47"/>
      <c r="M185" s="47"/>
      <c r="N185" s="47"/>
      <c r="O185" s="47"/>
      <c r="P185" s="78"/>
      <c r="Q185" s="46"/>
      <c r="R185" s="78"/>
      <c r="S185" s="47"/>
      <c r="T185" s="47"/>
      <c r="U185" s="111"/>
      <c r="V185" s="47"/>
      <c r="W185" s="47"/>
      <c r="X185" s="147"/>
      <c r="Y185" s="78"/>
      <c r="Z185" s="47"/>
      <c r="AA185" s="47"/>
      <c r="AB185" s="47"/>
      <c r="AC185" s="47"/>
      <c r="AD185" s="46"/>
      <c r="AE185" s="90" t="str">
        <f>IF(C185&lt;&gt;"",HYPERLINK(CONCATENATE(SheetName02,"\",Tools[[#This Row],[Manufacturer]],IF(Tools[[#This Row],[Model]]&lt;&gt;""," "&amp;Tools[[#This Row],[Model]],),".jpg"),CONCATENATE(Tools[[#This Row],[Manufacturer]],IF(Tools[[#This Row],[Model]]&lt;&gt;""," "&amp;Tools[[#This Row],[Model]],),".jpg")),"")</f>
        <v/>
      </c>
      <c r="AG185" s="5" t="str">
        <f t="shared" si="6"/>
        <v/>
      </c>
    </row>
    <row r="186" spans="2:33" x14ac:dyDescent="0.25">
      <c r="B186" s="80" t="str">
        <f t="shared" si="5"/>
        <v/>
      </c>
      <c r="C186" s="153"/>
      <c r="D186" s="153"/>
      <c r="E186" s="78"/>
      <c r="F186" s="47"/>
      <c r="G186" s="47"/>
      <c r="H186" s="47"/>
      <c r="I186" s="47"/>
      <c r="J186" s="47"/>
      <c r="K186" s="44"/>
      <c r="L186" s="47"/>
      <c r="M186" s="47"/>
      <c r="N186" s="47"/>
      <c r="O186" s="47"/>
      <c r="P186" s="78"/>
      <c r="Q186" s="46"/>
      <c r="R186" s="78"/>
      <c r="S186" s="47"/>
      <c r="T186" s="47"/>
      <c r="U186" s="111"/>
      <c r="V186" s="47"/>
      <c r="W186" s="47"/>
      <c r="X186" s="147"/>
      <c r="Y186" s="78"/>
      <c r="Z186" s="47"/>
      <c r="AA186" s="47"/>
      <c r="AB186" s="47"/>
      <c r="AC186" s="47"/>
      <c r="AD186" s="46"/>
      <c r="AE186" s="90" t="str">
        <f>IF(C186&lt;&gt;"",HYPERLINK(CONCATENATE(SheetName02,"\",Tools[[#This Row],[Manufacturer]],IF(Tools[[#This Row],[Model]]&lt;&gt;""," "&amp;Tools[[#This Row],[Model]],),".jpg"),CONCATENATE(Tools[[#This Row],[Manufacturer]],IF(Tools[[#This Row],[Model]]&lt;&gt;""," "&amp;Tools[[#This Row],[Model]],),".jpg")),"")</f>
        <v/>
      </c>
      <c r="AG186" s="5" t="str">
        <f t="shared" si="6"/>
        <v/>
      </c>
    </row>
    <row r="187" spans="2:33" x14ac:dyDescent="0.25">
      <c r="B187" s="80" t="str">
        <f t="shared" si="5"/>
        <v/>
      </c>
      <c r="C187" s="153"/>
      <c r="D187" s="153"/>
      <c r="E187" s="78"/>
      <c r="F187" s="47"/>
      <c r="G187" s="47"/>
      <c r="H187" s="47"/>
      <c r="I187" s="47"/>
      <c r="J187" s="47"/>
      <c r="K187" s="44"/>
      <c r="L187" s="47"/>
      <c r="M187" s="47"/>
      <c r="N187" s="47"/>
      <c r="O187" s="47"/>
      <c r="P187" s="78"/>
      <c r="Q187" s="46"/>
      <c r="R187" s="78"/>
      <c r="S187" s="47"/>
      <c r="T187" s="47"/>
      <c r="U187" s="111"/>
      <c r="V187" s="47"/>
      <c r="W187" s="47"/>
      <c r="X187" s="147"/>
      <c r="Y187" s="78"/>
      <c r="Z187" s="47"/>
      <c r="AA187" s="47"/>
      <c r="AB187" s="47"/>
      <c r="AC187" s="47"/>
      <c r="AD187" s="46"/>
      <c r="AE187" s="90" t="str">
        <f>IF(C187&lt;&gt;"",HYPERLINK(CONCATENATE(SheetName02,"\",Tools[[#This Row],[Manufacturer]],IF(Tools[[#This Row],[Model]]&lt;&gt;""," "&amp;Tools[[#This Row],[Model]],),".jpg"),CONCATENATE(Tools[[#This Row],[Manufacturer]],IF(Tools[[#This Row],[Model]]&lt;&gt;""," "&amp;Tools[[#This Row],[Model]],),".jpg")),"")</f>
        <v/>
      </c>
      <c r="AG187" s="5" t="str">
        <f t="shared" si="6"/>
        <v/>
      </c>
    </row>
    <row r="188" spans="2:33" x14ac:dyDescent="0.25">
      <c r="B188" s="80" t="str">
        <f t="shared" si="5"/>
        <v/>
      </c>
      <c r="C188" s="153"/>
      <c r="D188" s="153"/>
      <c r="E188" s="78"/>
      <c r="F188" s="47"/>
      <c r="G188" s="47"/>
      <c r="H188" s="47"/>
      <c r="I188" s="47"/>
      <c r="J188" s="47"/>
      <c r="K188" s="44"/>
      <c r="L188" s="47"/>
      <c r="M188" s="47"/>
      <c r="N188" s="47"/>
      <c r="O188" s="47"/>
      <c r="P188" s="78"/>
      <c r="Q188" s="46"/>
      <c r="R188" s="78"/>
      <c r="S188" s="47"/>
      <c r="T188" s="47"/>
      <c r="U188" s="111"/>
      <c r="V188" s="47"/>
      <c r="W188" s="47"/>
      <c r="X188" s="147"/>
      <c r="Y188" s="78"/>
      <c r="Z188" s="47"/>
      <c r="AA188" s="47"/>
      <c r="AB188" s="47"/>
      <c r="AC188" s="47"/>
      <c r="AD188" s="46"/>
      <c r="AE188" s="90" t="str">
        <f>IF(C188&lt;&gt;"",HYPERLINK(CONCATENATE(SheetName02,"\",Tools[[#This Row],[Manufacturer]],IF(Tools[[#This Row],[Model]]&lt;&gt;""," "&amp;Tools[[#This Row],[Model]],),".jpg"),CONCATENATE(Tools[[#This Row],[Manufacturer]],IF(Tools[[#This Row],[Model]]&lt;&gt;""," "&amp;Tools[[#This Row],[Model]],),".jpg")),"")</f>
        <v/>
      </c>
      <c r="AG188" s="5" t="str">
        <f t="shared" si="6"/>
        <v/>
      </c>
    </row>
    <row r="189" spans="2:33" x14ac:dyDescent="0.25">
      <c r="B189" s="80" t="str">
        <f t="shared" si="5"/>
        <v/>
      </c>
      <c r="C189" s="153"/>
      <c r="D189" s="153"/>
      <c r="E189" s="78"/>
      <c r="F189" s="47"/>
      <c r="G189" s="47"/>
      <c r="H189" s="47"/>
      <c r="I189" s="47"/>
      <c r="J189" s="47"/>
      <c r="K189" s="44"/>
      <c r="L189" s="47"/>
      <c r="M189" s="47"/>
      <c r="N189" s="47"/>
      <c r="O189" s="47"/>
      <c r="P189" s="78"/>
      <c r="Q189" s="46"/>
      <c r="R189" s="78"/>
      <c r="S189" s="47"/>
      <c r="T189" s="47"/>
      <c r="U189" s="111"/>
      <c r="V189" s="47"/>
      <c r="W189" s="47"/>
      <c r="X189" s="147"/>
      <c r="Y189" s="78"/>
      <c r="Z189" s="47"/>
      <c r="AA189" s="47"/>
      <c r="AB189" s="47"/>
      <c r="AC189" s="47"/>
      <c r="AD189" s="46"/>
      <c r="AE189" s="90" t="str">
        <f>IF(C189&lt;&gt;"",HYPERLINK(CONCATENATE(SheetName02,"\",Tools[[#This Row],[Manufacturer]],IF(Tools[[#This Row],[Model]]&lt;&gt;""," "&amp;Tools[[#This Row],[Model]],),".jpg"),CONCATENATE(Tools[[#This Row],[Manufacturer]],IF(Tools[[#This Row],[Model]]&lt;&gt;""," "&amp;Tools[[#This Row],[Model]],),".jpg")),"")</f>
        <v/>
      </c>
      <c r="AG189" s="5" t="str">
        <f t="shared" si="6"/>
        <v/>
      </c>
    </row>
    <row r="190" spans="2:33" x14ac:dyDescent="0.25">
      <c r="B190" s="80" t="str">
        <f t="shared" si="5"/>
        <v/>
      </c>
      <c r="C190" s="153"/>
      <c r="D190" s="153"/>
      <c r="E190" s="78"/>
      <c r="F190" s="47"/>
      <c r="G190" s="47"/>
      <c r="H190" s="47"/>
      <c r="I190" s="47"/>
      <c r="J190" s="47"/>
      <c r="K190" s="44"/>
      <c r="L190" s="47"/>
      <c r="M190" s="47"/>
      <c r="N190" s="47"/>
      <c r="O190" s="47"/>
      <c r="P190" s="78"/>
      <c r="Q190" s="46"/>
      <c r="R190" s="78"/>
      <c r="S190" s="47"/>
      <c r="T190" s="47"/>
      <c r="U190" s="111"/>
      <c r="V190" s="47"/>
      <c r="W190" s="47"/>
      <c r="X190" s="147"/>
      <c r="Y190" s="78"/>
      <c r="Z190" s="47"/>
      <c r="AA190" s="47"/>
      <c r="AB190" s="47"/>
      <c r="AC190" s="47"/>
      <c r="AD190" s="46"/>
      <c r="AE190" s="90" t="str">
        <f>IF(C190&lt;&gt;"",HYPERLINK(CONCATENATE(SheetName02,"\",Tools[[#This Row],[Manufacturer]],IF(Tools[[#This Row],[Model]]&lt;&gt;""," "&amp;Tools[[#This Row],[Model]],),".jpg"),CONCATENATE(Tools[[#This Row],[Manufacturer]],IF(Tools[[#This Row],[Model]]&lt;&gt;""," "&amp;Tools[[#This Row],[Model]],),".jpg")),"")</f>
        <v/>
      </c>
      <c r="AG190" s="5" t="str">
        <f t="shared" si="6"/>
        <v/>
      </c>
    </row>
    <row r="191" spans="2:33" x14ac:dyDescent="0.25">
      <c r="B191" s="80" t="str">
        <f t="shared" si="5"/>
        <v/>
      </c>
      <c r="C191" s="153"/>
      <c r="D191" s="153"/>
      <c r="E191" s="78"/>
      <c r="F191" s="47"/>
      <c r="G191" s="47"/>
      <c r="H191" s="47"/>
      <c r="I191" s="47"/>
      <c r="J191" s="47"/>
      <c r="K191" s="44"/>
      <c r="L191" s="47"/>
      <c r="M191" s="47"/>
      <c r="N191" s="47"/>
      <c r="O191" s="47"/>
      <c r="P191" s="78"/>
      <c r="Q191" s="46"/>
      <c r="R191" s="78"/>
      <c r="S191" s="47"/>
      <c r="T191" s="47"/>
      <c r="U191" s="111"/>
      <c r="V191" s="47"/>
      <c r="W191" s="47"/>
      <c r="X191" s="147"/>
      <c r="Y191" s="78"/>
      <c r="Z191" s="47"/>
      <c r="AA191" s="47"/>
      <c r="AB191" s="47"/>
      <c r="AC191" s="47"/>
      <c r="AD191" s="46"/>
      <c r="AE191" s="90" t="str">
        <f>IF(C191&lt;&gt;"",HYPERLINK(CONCATENATE(SheetName02,"\",Tools[[#This Row],[Manufacturer]],IF(Tools[[#This Row],[Model]]&lt;&gt;""," "&amp;Tools[[#This Row],[Model]],),".jpg"),CONCATENATE(Tools[[#This Row],[Manufacturer]],IF(Tools[[#This Row],[Model]]&lt;&gt;""," "&amp;Tools[[#This Row],[Model]],),".jpg")),"")</f>
        <v/>
      </c>
      <c r="AG191" s="5" t="str">
        <f t="shared" si="6"/>
        <v/>
      </c>
    </row>
    <row r="192" spans="2:33" x14ac:dyDescent="0.25">
      <c r="B192" s="80" t="str">
        <f t="shared" si="5"/>
        <v/>
      </c>
      <c r="C192" s="153"/>
      <c r="D192" s="153"/>
      <c r="E192" s="78"/>
      <c r="F192" s="47"/>
      <c r="G192" s="47"/>
      <c r="H192" s="47"/>
      <c r="I192" s="47"/>
      <c r="J192" s="47"/>
      <c r="K192" s="44"/>
      <c r="L192" s="47"/>
      <c r="M192" s="47"/>
      <c r="N192" s="47"/>
      <c r="O192" s="47"/>
      <c r="P192" s="78"/>
      <c r="Q192" s="46"/>
      <c r="R192" s="78"/>
      <c r="S192" s="47"/>
      <c r="T192" s="47"/>
      <c r="U192" s="111"/>
      <c r="V192" s="47"/>
      <c r="W192" s="47"/>
      <c r="X192" s="147"/>
      <c r="Y192" s="78"/>
      <c r="Z192" s="47"/>
      <c r="AA192" s="47"/>
      <c r="AB192" s="47"/>
      <c r="AC192" s="47"/>
      <c r="AD192" s="46"/>
      <c r="AE192" s="90" t="str">
        <f>IF(C192&lt;&gt;"",HYPERLINK(CONCATENATE(SheetName02,"\",Tools[[#This Row],[Manufacturer]],IF(Tools[[#This Row],[Model]]&lt;&gt;""," "&amp;Tools[[#This Row],[Model]],),".jpg"),CONCATENATE(Tools[[#This Row],[Manufacturer]],IF(Tools[[#This Row],[Model]]&lt;&gt;""," "&amp;Tools[[#This Row],[Model]],),".jpg")),"")</f>
        <v/>
      </c>
      <c r="AG192" s="5" t="str">
        <f t="shared" si="6"/>
        <v/>
      </c>
    </row>
    <row r="193" spans="2:33" x14ac:dyDescent="0.25">
      <c r="B193" s="80" t="str">
        <f t="shared" si="5"/>
        <v/>
      </c>
      <c r="C193" s="153"/>
      <c r="D193" s="153"/>
      <c r="E193" s="78"/>
      <c r="F193" s="47"/>
      <c r="G193" s="47"/>
      <c r="H193" s="47"/>
      <c r="I193" s="47"/>
      <c r="J193" s="47"/>
      <c r="K193" s="44"/>
      <c r="L193" s="47"/>
      <c r="M193" s="47"/>
      <c r="N193" s="47"/>
      <c r="O193" s="47"/>
      <c r="P193" s="78"/>
      <c r="Q193" s="46"/>
      <c r="R193" s="78"/>
      <c r="S193" s="47"/>
      <c r="T193" s="47"/>
      <c r="U193" s="111"/>
      <c r="V193" s="47"/>
      <c r="W193" s="47"/>
      <c r="X193" s="147"/>
      <c r="Y193" s="78"/>
      <c r="Z193" s="47"/>
      <c r="AA193" s="47"/>
      <c r="AB193" s="47"/>
      <c r="AC193" s="47"/>
      <c r="AD193" s="46"/>
      <c r="AE193" s="90" t="str">
        <f>IF(C193&lt;&gt;"",HYPERLINK(CONCATENATE(SheetName02,"\",Tools[[#This Row],[Manufacturer]],IF(Tools[[#This Row],[Model]]&lt;&gt;""," "&amp;Tools[[#This Row],[Model]],),".jpg"),CONCATENATE(Tools[[#This Row],[Manufacturer]],IF(Tools[[#This Row],[Model]]&lt;&gt;""," "&amp;Tools[[#This Row],[Model]],),".jpg")),"")</f>
        <v/>
      </c>
      <c r="AG193" s="5" t="str">
        <f t="shared" si="6"/>
        <v/>
      </c>
    </row>
    <row r="194" spans="2:33" x14ac:dyDescent="0.25">
      <c r="B194" s="80" t="str">
        <f t="shared" si="5"/>
        <v/>
      </c>
      <c r="C194" s="153"/>
      <c r="D194" s="153"/>
      <c r="E194" s="78"/>
      <c r="F194" s="47"/>
      <c r="G194" s="47"/>
      <c r="H194" s="47"/>
      <c r="I194" s="47"/>
      <c r="J194" s="47"/>
      <c r="K194" s="44"/>
      <c r="L194" s="47"/>
      <c r="M194" s="47"/>
      <c r="N194" s="47"/>
      <c r="O194" s="47"/>
      <c r="P194" s="78"/>
      <c r="Q194" s="46"/>
      <c r="R194" s="78"/>
      <c r="S194" s="47"/>
      <c r="T194" s="47"/>
      <c r="U194" s="111"/>
      <c r="V194" s="47"/>
      <c r="W194" s="47"/>
      <c r="X194" s="147"/>
      <c r="Y194" s="78"/>
      <c r="Z194" s="47"/>
      <c r="AA194" s="47"/>
      <c r="AB194" s="47"/>
      <c r="AC194" s="47"/>
      <c r="AD194" s="46"/>
      <c r="AE194" s="90" t="str">
        <f>IF(C194&lt;&gt;"",HYPERLINK(CONCATENATE(SheetName02,"\",Tools[[#This Row],[Manufacturer]],IF(Tools[[#This Row],[Model]]&lt;&gt;""," "&amp;Tools[[#This Row],[Model]],),".jpg"),CONCATENATE(Tools[[#This Row],[Manufacturer]],IF(Tools[[#This Row],[Model]]&lt;&gt;""," "&amp;Tools[[#This Row],[Model]],),".jpg")),"")</f>
        <v/>
      </c>
      <c r="AG194" s="5" t="str">
        <f t="shared" si="6"/>
        <v/>
      </c>
    </row>
    <row r="195" spans="2:33" x14ac:dyDescent="0.25">
      <c r="B195" s="80" t="str">
        <f t="shared" si="5"/>
        <v/>
      </c>
      <c r="C195" s="153"/>
      <c r="D195" s="153"/>
      <c r="E195" s="78"/>
      <c r="F195" s="47"/>
      <c r="G195" s="47"/>
      <c r="H195" s="47"/>
      <c r="I195" s="47"/>
      <c r="J195" s="47"/>
      <c r="K195" s="44"/>
      <c r="L195" s="47"/>
      <c r="M195" s="47"/>
      <c r="N195" s="47"/>
      <c r="O195" s="47"/>
      <c r="P195" s="78"/>
      <c r="Q195" s="46"/>
      <c r="R195" s="78"/>
      <c r="S195" s="47"/>
      <c r="T195" s="47"/>
      <c r="U195" s="111"/>
      <c r="V195" s="47"/>
      <c r="W195" s="47"/>
      <c r="X195" s="147"/>
      <c r="Y195" s="78"/>
      <c r="Z195" s="47"/>
      <c r="AA195" s="47"/>
      <c r="AB195" s="47"/>
      <c r="AC195" s="47"/>
      <c r="AD195" s="46"/>
      <c r="AE195" s="90" t="str">
        <f>IF(C195&lt;&gt;"",HYPERLINK(CONCATENATE(SheetName02,"\",Tools[[#This Row],[Manufacturer]],IF(Tools[[#This Row],[Model]]&lt;&gt;""," "&amp;Tools[[#This Row],[Model]],),".jpg"),CONCATENATE(Tools[[#This Row],[Manufacturer]],IF(Tools[[#This Row],[Model]]&lt;&gt;""," "&amp;Tools[[#This Row],[Model]],),".jpg")),"")</f>
        <v/>
      </c>
      <c r="AG195" s="5" t="str">
        <f t="shared" si="6"/>
        <v/>
      </c>
    </row>
    <row r="196" spans="2:33" x14ac:dyDescent="0.25">
      <c r="B196" s="80" t="str">
        <f t="shared" ref="B196:B255" si="7">IF(C196&lt;&gt;"",ROW(A193),"")</f>
        <v/>
      </c>
      <c r="C196" s="153"/>
      <c r="D196" s="153"/>
      <c r="E196" s="78"/>
      <c r="F196" s="47"/>
      <c r="G196" s="47"/>
      <c r="H196" s="47"/>
      <c r="I196" s="47"/>
      <c r="J196" s="47"/>
      <c r="K196" s="44"/>
      <c r="L196" s="47"/>
      <c r="M196" s="47"/>
      <c r="N196" s="47"/>
      <c r="O196" s="47"/>
      <c r="P196" s="78"/>
      <c r="Q196" s="46"/>
      <c r="R196" s="78"/>
      <c r="S196" s="47"/>
      <c r="T196" s="47"/>
      <c r="U196" s="111"/>
      <c r="V196" s="47"/>
      <c r="W196" s="47"/>
      <c r="X196" s="147"/>
      <c r="Y196" s="78"/>
      <c r="Z196" s="47"/>
      <c r="AA196" s="47"/>
      <c r="AB196" s="47"/>
      <c r="AC196" s="47"/>
      <c r="AD196" s="46"/>
      <c r="AE196" s="90" t="str">
        <f>IF(C196&lt;&gt;"",HYPERLINK(CONCATENATE(SheetName02,"\",Tools[[#This Row],[Manufacturer]],IF(Tools[[#This Row],[Model]]&lt;&gt;""," "&amp;Tools[[#This Row],[Model]],),".jpg"),CONCATENATE(Tools[[#This Row],[Manufacturer]],IF(Tools[[#This Row],[Model]]&lt;&gt;""," "&amp;Tools[[#This Row],[Model]],),".jpg")),"")</f>
        <v/>
      </c>
      <c r="AG196" s="5" t="str">
        <f t="shared" si="6"/>
        <v/>
      </c>
    </row>
    <row r="197" spans="2:33" x14ac:dyDescent="0.25">
      <c r="B197" s="80" t="str">
        <f t="shared" si="7"/>
        <v/>
      </c>
      <c r="C197" s="153"/>
      <c r="D197" s="153"/>
      <c r="E197" s="78"/>
      <c r="F197" s="47"/>
      <c r="G197" s="47"/>
      <c r="H197" s="47"/>
      <c r="I197" s="47"/>
      <c r="J197" s="47"/>
      <c r="K197" s="44"/>
      <c r="L197" s="47"/>
      <c r="M197" s="47"/>
      <c r="N197" s="47"/>
      <c r="O197" s="47"/>
      <c r="P197" s="78"/>
      <c r="Q197" s="46"/>
      <c r="R197" s="78"/>
      <c r="S197" s="47"/>
      <c r="T197" s="47"/>
      <c r="U197" s="111"/>
      <c r="V197" s="47"/>
      <c r="W197" s="47"/>
      <c r="X197" s="147"/>
      <c r="Y197" s="78"/>
      <c r="Z197" s="47"/>
      <c r="AA197" s="47"/>
      <c r="AB197" s="47"/>
      <c r="AC197" s="47"/>
      <c r="AD197" s="46"/>
      <c r="AE197" s="90" t="str">
        <f>IF(C197&lt;&gt;"",HYPERLINK(CONCATENATE(SheetName02,"\",Tools[[#This Row],[Manufacturer]],IF(Tools[[#This Row],[Model]]&lt;&gt;""," "&amp;Tools[[#This Row],[Model]],),".jpg"),CONCATENATE(Tools[[#This Row],[Manufacturer]],IF(Tools[[#This Row],[Model]]&lt;&gt;""," "&amp;Tools[[#This Row],[Model]],),".jpg")),"")</f>
        <v/>
      </c>
      <c r="AG197" s="5" t="str">
        <f t="shared" si="6"/>
        <v/>
      </c>
    </row>
    <row r="198" spans="2:33" x14ac:dyDescent="0.25">
      <c r="B198" s="80" t="str">
        <f t="shared" si="7"/>
        <v/>
      </c>
      <c r="C198" s="153"/>
      <c r="D198" s="153"/>
      <c r="E198" s="78"/>
      <c r="F198" s="47"/>
      <c r="G198" s="47"/>
      <c r="H198" s="47"/>
      <c r="I198" s="47"/>
      <c r="J198" s="47"/>
      <c r="K198" s="44"/>
      <c r="L198" s="47"/>
      <c r="M198" s="47"/>
      <c r="N198" s="47"/>
      <c r="O198" s="47"/>
      <c r="P198" s="78"/>
      <c r="Q198" s="46"/>
      <c r="R198" s="78"/>
      <c r="S198" s="47"/>
      <c r="T198" s="47"/>
      <c r="U198" s="111"/>
      <c r="V198" s="47"/>
      <c r="W198" s="47"/>
      <c r="X198" s="147"/>
      <c r="Y198" s="78"/>
      <c r="Z198" s="47"/>
      <c r="AA198" s="47"/>
      <c r="AB198" s="47"/>
      <c r="AC198" s="47"/>
      <c r="AD198" s="46"/>
      <c r="AE198" s="90" t="str">
        <f>IF(C198&lt;&gt;"",HYPERLINK(CONCATENATE(SheetName02,"\",Tools[[#This Row],[Manufacturer]],IF(Tools[[#This Row],[Model]]&lt;&gt;""," "&amp;Tools[[#This Row],[Model]],),".jpg"),CONCATENATE(Tools[[#This Row],[Manufacturer]],IF(Tools[[#This Row],[Model]]&lt;&gt;""," "&amp;Tools[[#This Row],[Model]],),".jpg")),"")</f>
        <v/>
      </c>
      <c r="AG198" s="5" t="str">
        <f t="shared" si="6"/>
        <v/>
      </c>
    </row>
    <row r="199" spans="2:33" x14ac:dyDescent="0.25">
      <c r="B199" s="80" t="str">
        <f t="shared" si="7"/>
        <v/>
      </c>
      <c r="C199" s="153"/>
      <c r="D199" s="153"/>
      <c r="E199" s="78"/>
      <c r="F199" s="47"/>
      <c r="G199" s="47"/>
      <c r="H199" s="47"/>
      <c r="I199" s="47"/>
      <c r="J199" s="47"/>
      <c r="K199" s="44"/>
      <c r="L199" s="47"/>
      <c r="M199" s="47"/>
      <c r="N199" s="47"/>
      <c r="O199" s="47"/>
      <c r="P199" s="78"/>
      <c r="Q199" s="46"/>
      <c r="R199" s="78"/>
      <c r="S199" s="47"/>
      <c r="T199" s="47"/>
      <c r="U199" s="111"/>
      <c r="V199" s="47"/>
      <c r="W199" s="47"/>
      <c r="X199" s="147"/>
      <c r="Y199" s="78"/>
      <c r="Z199" s="47"/>
      <c r="AA199" s="47"/>
      <c r="AB199" s="47"/>
      <c r="AC199" s="47"/>
      <c r="AD199" s="46"/>
      <c r="AE199" s="90" t="str">
        <f>IF(C199&lt;&gt;"",HYPERLINK(CONCATENATE(SheetName02,"\",Tools[[#This Row],[Manufacturer]],IF(Tools[[#This Row],[Model]]&lt;&gt;""," "&amp;Tools[[#This Row],[Model]],),".jpg"),CONCATENATE(Tools[[#This Row],[Manufacturer]],IF(Tools[[#This Row],[Model]]&lt;&gt;""," "&amp;Tools[[#This Row],[Model]],),".jpg")),"")</f>
        <v/>
      </c>
      <c r="AG199" s="5" t="str">
        <f t="shared" ref="AG199:AG255" si="8">IF(B199="","",(CONCATENATE(TEXT(B199,"000")," ",C199," ",D199)))</f>
        <v/>
      </c>
    </row>
    <row r="200" spans="2:33" x14ac:dyDescent="0.25">
      <c r="B200" s="80" t="str">
        <f t="shared" si="7"/>
        <v/>
      </c>
      <c r="C200" s="153"/>
      <c r="D200" s="153"/>
      <c r="E200" s="78"/>
      <c r="F200" s="47"/>
      <c r="G200" s="47"/>
      <c r="H200" s="47"/>
      <c r="I200" s="47"/>
      <c r="J200" s="47"/>
      <c r="K200" s="44"/>
      <c r="L200" s="47"/>
      <c r="M200" s="47"/>
      <c r="N200" s="47"/>
      <c r="O200" s="47"/>
      <c r="P200" s="78"/>
      <c r="Q200" s="46"/>
      <c r="R200" s="78"/>
      <c r="S200" s="47"/>
      <c r="T200" s="47"/>
      <c r="U200" s="111"/>
      <c r="V200" s="47"/>
      <c r="W200" s="47"/>
      <c r="X200" s="147"/>
      <c r="Y200" s="78"/>
      <c r="Z200" s="47"/>
      <c r="AA200" s="47"/>
      <c r="AB200" s="47"/>
      <c r="AC200" s="47"/>
      <c r="AD200" s="46"/>
      <c r="AE200" s="90" t="str">
        <f>IF(C200&lt;&gt;"",HYPERLINK(CONCATENATE(SheetName02,"\",Tools[[#This Row],[Manufacturer]],IF(Tools[[#This Row],[Model]]&lt;&gt;""," "&amp;Tools[[#This Row],[Model]],),".jpg"),CONCATENATE(Tools[[#This Row],[Manufacturer]],IF(Tools[[#This Row],[Model]]&lt;&gt;""," "&amp;Tools[[#This Row],[Model]],),".jpg")),"")</f>
        <v/>
      </c>
      <c r="AG200" s="5" t="str">
        <f t="shared" si="8"/>
        <v/>
      </c>
    </row>
    <row r="201" spans="2:33" x14ac:dyDescent="0.25">
      <c r="B201" s="80" t="str">
        <f t="shared" si="7"/>
        <v/>
      </c>
      <c r="C201" s="153"/>
      <c r="D201" s="153"/>
      <c r="E201" s="78"/>
      <c r="F201" s="47"/>
      <c r="G201" s="47"/>
      <c r="H201" s="47"/>
      <c r="I201" s="47"/>
      <c r="J201" s="47"/>
      <c r="K201" s="44"/>
      <c r="L201" s="47"/>
      <c r="M201" s="47"/>
      <c r="N201" s="47"/>
      <c r="O201" s="47"/>
      <c r="P201" s="78"/>
      <c r="Q201" s="46"/>
      <c r="R201" s="78"/>
      <c r="S201" s="47"/>
      <c r="T201" s="47"/>
      <c r="U201" s="111"/>
      <c r="V201" s="47"/>
      <c r="W201" s="47"/>
      <c r="X201" s="147"/>
      <c r="Y201" s="78"/>
      <c r="Z201" s="47"/>
      <c r="AA201" s="47"/>
      <c r="AB201" s="47"/>
      <c r="AC201" s="47"/>
      <c r="AD201" s="46"/>
      <c r="AE201" s="90" t="str">
        <f>IF(C201&lt;&gt;"",HYPERLINK(CONCATENATE(SheetName02,"\",Tools[[#This Row],[Manufacturer]],IF(Tools[[#This Row],[Model]]&lt;&gt;""," "&amp;Tools[[#This Row],[Model]],),".jpg"),CONCATENATE(Tools[[#This Row],[Manufacturer]],IF(Tools[[#This Row],[Model]]&lt;&gt;""," "&amp;Tools[[#This Row],[Model]],),".jpg")),"")</f>
        <v/>
      </c>
      <c r="AG201" s="5" t="str">
        <f t="shared" si="8"/>
        <v/>
      </c>
    </row>
    <row r="202" spans="2:33" x14ac:dyDescent="0.25">
      <c r="B202" s="80" t="str">
        <f t="shared" si="7"/>
        <v/>
      </c>
      <c r="C202" s="153"/>
      <c r="D202" s="153"/>
      <c r="E202" s="78"/>
      <c r="F202" s="47"/>
      <c r="G202" s="47"/>
      <c r="H202" s="47"/>
      <c r="I202" s="47"/>
      <c r="J202" s="47"/>
      <c r="K202" s="44"/>
      <c r="L202" s="47"/>
      <c r="M202" s="47"/>
      <c r="N202" s="47"/>
      <c r="O202" s="47"/>
      <c r="P202" s="78"/>
      <c r="Q202" s="46"/>
      <c r="R202" s="78"/>
      <c r="S202" s="47"/>
      <c r="T202" s="47"/>
      <c r="U202" s="111"/>
      <c r="V202" s="47"/>
      <c r="W202" s="47"/>
      <c r="X202" s="147"/>
      <c r="Y202" s="78"/>
      <c r="Z202" s="47"/>
      <c r="AA202" s="47"/>
      <c r="AB202" s="47"/>
      <c r="AC202" s="47"/>
      <c r="AD202" s="46"/>
      <c r="AE202" s="90" t="str">
        <f>IF(C202&lt;&gt;"",HYPERLINK(CONCATENATE(SheetName02,"\",Tools[[#This Row],[Manufacturer]],IF(Tools[[#This Row],[Model]]&lt;&gt;""," "&amp;Tools[[#This Row],[Model]],),".jpg"),CONCATENATE(Tools[[#This Row],[Manufacturer]],IF(Tools[[#This Row],[Model]]&lt;&gt;""," "&amp;Tools[[#This Row],[Model]],),".jpg")),"")</f>
        <v/>
      </c>
      <c r="AG202" s="5" t="str">
        <f t="shared" si="8"/>
        <v/>
      </c>
    </row>
    <row r="203" spans="2:33" x14ac:dyDescent="0.25">
      <c r="B203" s="80" t="str">
        <f t="shared" si="7"/>
        <v/>
      </c>
      <c r="C203" s="153"/>
      <c r="D203" s="153"/>
      <c r="E203" s="78"/>
      <c r="F203" s="47"/>
      <c r="G203" s="47"/>
      <c r="H203" s="47"/>
      <c r="I203" s="47"/>
      <c r="J203" s="47"/>
      <c r="K203" s="44"/>
      <c r="L203" s="47"/>
      <c r="M203" s="47"/>
      <c r="N203" s="47"/>
      <c r="O203" s="47"/>
      <c r="P203" s="78"/>
      <c r="Q203" s="46"/>
      <c r="R203" s="78"/>
      <c r="S203" s="47"/>
      <c r="T203" s="47"/>
      <c r="U203" s="111"/>
      <c r="V203" s="47"/>
      <c r="W203" s="47"/>
      <c r="X203" s="147"/>
      <c r="Y203" s="78"/>
      <c r="Z203" s="47"/>
      <c r="AA203" s="47"/>
      <c r="AB203" s="47"/>
      <c r="AC203" s="47"/>
      <c r="AD203" s="46"/>
      <c r="AE203" s="90" t="str">
        <f>IF(C203&lt;&gt;"",HYPERLINK(CONCATENATE(SheetName02,"\",Tools[[#This Row],[Manufacturer]],IF(Tools[[#This Row],[Model]]&lt;&gt;""," "&amp;Tools[[#This Row],[Model]],),".jpg"),CONCATENATE(Tools[[#This Row],[Manufacturer]],IF(Tools[[#This Row],[Model]]&lt;&gt;""," "&amp;Tools[[#This Row],[Model]],),".jpg")),"")</f>
        <v/>
      </c>
      <c r="AG203" s="5" t="str">
        <f t="shared" si="8"/>
        <v/>
      </c>
    </row>
    <row r="204" spans="2:33" x14ac:dyDescent="0.25">
      <c r="B204" s="80" t="str">
        <f t="shared" si="7"/>
        <v/>
      </c>
      <c r="C204" s="153"/>
      <c r="D204" s="153"/>
      <c r="E204" s="78"/>
      <c r="F204" s="47"/>
      <c r="G204" s="47"/>
      <c r="H204" s="47"/>
      <c r="I204" s="47"/>
      <c r="J204" s="47"/>
      <c r="K204" s="44"/>
      <c r="L204" s="47"/>
      <c r="M204" s="47"/>
      <c r="N204" s="47"/>
      <c r="O204" s="47"/>
      <c r="P204" s="78"/>
      <c r="Q204" s="46"/>
      <c r="R204" s="78"/>
      <c r="S204" s="47"/>
      <c r="T204" s="47"/>
      <c r="U204" s="111"/>
      <c r="V204" s="47"/>
      <c r="W204" s="47"/>
      <c r="X204" s="147"/>
      <c r="Y204" s="78"/>
      <c r="Z204" s="47"/>
      <c r="AA204" s="47"/>
      <c r="AB204" s="47"/>
      <c r="AC204" s="47"/>
      <c r="AD204" s="46"/>
      <c r="AE204" s="90" t="str">
        <f>IF(C204&lt;&gt;"",HYPERLINK(CONCATENATE(SheetName02,"\",Tools[[#This Row],[Manufacturer]],IF(Tools[[#This Row],[Model]]&lt;&gt;""," "&amp;Tools[[#This Row],[Model]],),".jpg"),CONCATENATE(Tools[[#This Row],[Manufacturer]],IF(Tools[[#This Row],[Model]]&lt;&gt;""," "&amp;Tools[[#This Row],[Model]],),".jpg")),"")</f>
        <v/>
      </c>
      <c r="AG204" s="5" t="str">
        <f t="shared" si="8"/>
        <v/>
      </c>
    </row>
    <row r="205" spans="2:33" x14ac:dyDescent="0.25">
      <c r="B205" s="80" t="str">
        <f t="shared" si="7"/>
        <v/>
      </c>
      <c r="C205" s="153"/>
      <c r="D205" s="153"/>
      <c r="E205" s="78"/>
      <c r="F205" s="47"/>
      <c r="G205" s="47"/>
      <c r="H205" s="47"/>
      <c r="I205" s="47"/>
      <c r="J205" s="47"/>
      <c r="K205" s="44"/>
      <c r="L205" s="47"/>
      <c r="M205" s="47"/>
      <c r="N205" s="47"/>
      <c r="O205" s="47"/>
      <c r="P205" s="78"/>
      <c r="Q205" s="46"/>
      <c r="R205" s="78"/>
      <c r="S205" s="47"/>
      <c r="T205" s="47"/>
      <c r="U205" s="111"/>
      <c r="V205" s="47"/>
      <c r="W205" s="47"/>
      <c r="X205" s="147"/>
      <c r="Y205" s="78"/>
      <c r="Z205" s="47"/>
      <c r="AA205" s="47"/>
      <c r="AB205" s="47"/>
      <c r="AC205" s="47"/>
      <c r="AD205" s="46"/>
      <c r="AE205" s="90" t="str">
        <f>IF(C205&lt;&gt;"",HYPERLINK(CONCATENATE(SheetName02,"\",Tools[[#This Row],[Manufacturer]],IF(Tools[[#This Row],[Model]]&lt;&gt;""," "&amp;Tools[[#This Row],[Model]],),".jpg"),CONCATENATE(Tools[[#This Row],[Manufacturer]],IF(Tools[[#This Row],[Model]]&lt;&gt;""," "&amp;Tools[[#This Row],[Model]],),".jpg")),"")</f>
        <v/>
      </c>
      <c r="AG205" s="5" t="str">
        <f t="shared" si="8"/>
        <v/>
      </c>
    </row>
    <row r="206" spans="2:33" x14ac:dyDescent="0.25">
      <c r="B206" s="80" t="str">
        <f t="shared" si="7"/>
        <v/>
      </c>
      <c r="C206" s="153"/>
      <c r="D206" s="153"/>
      <c r="E206" s="78"/>
      <c r="F206" s="47"/>
      <c r="G206" s="47"/>
      <c r="H206" s="47"/>
      <c r="I206" s="47"/>
      <c r="J206" s="47"/>
      <c r="K206" s="44"/>
      <c r="L206" s="47"/>
      <c r="M206" s="47"/>
      <c r="N206" s="47"/>
      <c r="O206" s="47"/>
      <c r="P206" s="78"/>
      <c r="Q206" s="46"/>
      <c r="R206" s="78"/>
      <c r="S206" s="47"/>
      <c r="T206" s="47"/>
      <c r="U206" s="111"/>
      <c r="V206" s="47"/>
      <c r="W206" s="47"/>
      <c r="X206" s="147"/>
      <c r="Y206" s="78"/>
      <c r="Z206" s="47"/>
      <c r="AA206" s="47"/>
      <c r="AB206" s="47"/>
      <c r="AC206" s="47"/>
      <c r="AD206" s="46"/>
      <c r="AE206" s="90" t="str">
        <f>IF(C206&lt;&gt;"",HYPERLINK(CONCATENATE(SheetName02,"\",Tools[[#This Row],[Manufacturer]],IF(Tools[[#This Row],[Model]]&lt;&gt;""," "&amp;Tools[[#This Row],[Model]],),".jpg"),CONCATENATE(Tools[[#This Row],[Manufacturer]],IF(Tools[[#This Row],[Model]]&lt;&gt;""," "&amp;Tools[[#This Row],[Model]],),".jpg")),"")</f>
        <v/>
      </c>
      <c r="AG206" s="5" t="str">
        <f t="shared" si="8"/>
        <v/>
      </c>
    </row>
    <row r="207" spans="2:33" x14ac:dyDescent="0.25">
      <c r="B207" s="80" t="str">
        <f t="shared" si="7"/>
        <v/>
      </c>
      <c r="C207" s="153"/>
      <c r="D207" s="153"/>
      <c r="E207" s="78"/>
      <c r="F207" s="47"/>
      <c r="G207" s="47"/>
      <c r="H207" s="47"/>
      <c r="I207" s="47"/>
      <c r="J207" s="47"/>
      <c r="K207" s="44"/>
      <c r="L207" s="47"/>
      <c r="M207" s="47"/>
      <c r="N207" s="47"/>
      <c r="O207" s="47"/>
      <c r="P207" s="78"/>
      <c r="Q207" s="46"/>
      <c r="R207" s="78"/>
      <c r="S207" s="47"/>
      <c r="T207" s="47"/>
      <c r="U207" s="111"/>
      <c r="V207" s="47"/>
      <c r="W207" s="47"/>
      <c r="X207" s="147"/>
      <c r="Y207" s="78"/>
      <c r="Z207" s="47"/>
      <c r="AA207" s="47"/>
      <c r="AB207" s="47"/>
      <c r="AC207" s="47"/>
      <c r="AD207" s="46"/>
      <c r="AE207" s="90" t="str">
        <f>IF(C207&lt;&gt;"",HYPERLINK(CONCATENATE(SheetName02,"\",Tools[[#This Row],[Manufacturer]],IF(Tools[[#This Row],[Model]]&lt;&gt;""," "&amp;Tools[[#This Row],[Model]],),".jpg"),CONCATENATE(Tools[[#This Row],[Manufacturer]],IF(Tools[[#This Row],[Model]]&lt;&gt;""," "&amp;Tools[[#This Row],[Model]],),".jpg")),"")</f>
        <v/>
      </c>
      <c r="AG207" s="5" t="str">
        <f t="shared" si="8"/>
        <v/>
      </c>
    </row>
    <row r="208" spans="2:33" x14ac:dyDescent="0.25">
      <c r="B208" s="80" t="str">
        <f t="shared" si="7"/>
        <v/>
      </c>
      <c r="C208" s="153"/>
      <c r="D208" s="153"/>
      <c r="E208" s="78"/>
      <c r="F208" s="47"/>
      <c r="G208" s="47"/>
      <c r="H208" s="47"/>
      <c r="I208" s="47"/>
      <c r="J208" s="47"/>
      <c r="K208" s="44"/>
      <c r="L208" s="47"/>
      <c r="M208" s="47"/>
      <c r="N208" s="47"/>
      <c r="O208" s="47"/>
      <c r="P208" s="78"/>
      <c r="Q208" s="46"/>
      <c r="R208" s="78"/>
      <c r="S208" s="47"/>
      <c r="T208" s="47"/>
      <c r="U208" s="111"/>
      <c r="V208" s="47"/>
      <c r="W208" s="47"/>
      <c r="X208" s="147"/>
      <c r="Y208" s="78"/>
      <c r="Z208" s="47"/>
      <c r="AA208" s="47"/>
      <c r="AB208" s="47"/>
      <c r="AC208" s="47"/>
      <c r="AD208" s="46"/>
      <c r="AE208" s="90" t="str">
        <f>IF(C208&lt;&gt;"",HYPERLINK(CONCATENATE(SheetName02,"\",Tools[[#This Row],[Manufacturer]],IF(Tools[[#This Row],[Model]]&lt;&gt;""," "&amp;Tools[[#This Row],[Model]],),".jpg"),CONCATENATE(Tools[[#This Row],[Manufacturer]],IF(Tools[[#This Row],[Model]]&lt;&gt;""," "&amp;Tools[[#This Row],[Model]],),".jpg")),"")</f>
        <v/>
      </c>
      <c r="AG208" s="5" t="str">
        <f t="shared" si="8"/>
        <v/>
      </c>
    </row>
    <row r="209" spans="2:33" x14ac:dyDescent="0.25">
      <c r="B209" s="80" t="str">
        <f t="shared" si="7"/>
        <v/>
      </c>
      <c r="C209" s="153"/>
      <c r="D209" s="153"/>
      <c r="E209" s="78"/>
      <c r="F209" s="47"/>
      <c r="G209" s="47"/>
      <c r="H209" s="47"/>
      <c r="I209" s="47"/>
      <c r="J209" s="47"/>
      <c r="K209" s="44"/>
      <c r="L209" s="47"/>
      <c r="M209" s="47"/>
      <c r="N209" s="47"/>
      <c r="O209" s="47"/>
      <c r="P209" s="78"/>
      <c r="Q209" s="46"/>
      <c r="R209" s="78"/>
      <c r="S209" s="47"/>
      <c r="T209" s="47"/>
      <c r="U209" s="111"/>
      <c r="V209" s="47"/>
      <c r="W209" s="47"/>
      <c r="X209" s="147"/>
      <c r="Y209" s="78"/>
      <c r="Z209" s="47"/>
      <c r="AA209" s="47"/>
      <c r="AB209" s="47"/>
      <c r="AC209" s="47"/>
      <c r="AD209" s="46"/>
      <c r="AE209" s="90" t="str">
        <f>IF(C209&lt;&gt;"",HYPERLINK(CONCATENATE(SheetName02,"\",Tools[[#This Row],[Manufacturer]],IF(Tools[[#This Row],[Model]]&lt;&gt;""," "&amp;Tools[[#This Row],[Model]],),".jpg"),CONCATENATE(Tools[[#This Row],[Manufacturer]],IF(Tools[[#This Row],[Model]]&lt;&gt;""," "&amp;Tools[[#This Row],[Model]],),".jpg")),"")</f>
        <v/>
      </c>
      <c r="AG209" s="5" t="str">
        <f t="shared" si="8"/>
        <v/>
      </c>
    </row>
    <row r="210" spans="2:33" x14ac:dyDescent="0.25">
      <c r="B210" s="80" t="str">
        <f t="shared" si="7"/>
        <v/>
      </c>
      <c r="C210" s="153"/>
      <c r="D210" s="153"/>
      <c r="E210" s="78"/>
      <c r="F210" s="47"/>
      <c r="G210" s="47"/>
      <c r="H210" s="47"/>
      <c r="I210" s="47"/>
      <c r="J210" s="47"/>
      <c r="K210" s="44"/>
      <c r="L210" s="47"/>
      <c r="M210" s="47"/>
      <c r="N210" s="47"/>
      <c r="O210" s="47"/>
      <c r="P210" s="78"/>
      <c r="Q210" s="46"/>
      <c r="R210" s="78"/>
      <c r="S210" s="47"/>
      <c r="T210" s="47"/>
      <c r="U210" s="111"/>
      <c r="V210" s="47"/>
      <c r="W210" s="47"/>
      <c r="X210" s="147"/>
      <c r="Y210" s="78"/>
      <c r="Z210" s="47"/>
      <c r="AA210" s="47"/>
      <c r="AB210" s="47"/>
      <c r="AC210" s="47"/>
      <c r="AD210" s="46"/>
      <c r="AE210" s="90" t="str">
        <f>IF(C210&lt;&gt;"",HYPERLINK(CONCATENATE(SheetName02,"\",Tools[[#This Row],[Manufacturer]],IF(Tools[[#This Row],[Model]]&lt;&gt;""," "&amp;Tools[[#This Row],[Model]],),".jpg"),CONCATENATE(Tools[[#This Row],[Manufacturer]],IF(Tools[[#This Row],[Model]]&lt;&gt;""," "&amp;Tools[[#This Row],[Model]],),".jpg")),"")</f>
        <v/>
      </c>
      <c r="AG210" s="5" t="str">
        <f t="shared" si="8"/>
        <v/>
      </c>
    </row>
    <row r="211" spans="2:33" x14ac:dyDescent="0.25">
      <c r="B211" s="80" t="str">
        <f t="shared" si="7"/>
        <v/>
      </c>
      <c r="C211" s="153"/>
      <c r="D211" s="153"/>
      <c r="E211" s="78"/>
      <c r="F211" s="47"/>
      <c r="G211" s="47"/>
      <c r="H211" s="47"/>
      <c r="I211" s="47"/>
      <c r="J211" s="47"/>
      <c r="K211" s="44"/>
      <c r="L211" s="47"/>
      <c r="M211" s="47"/>
      <c r="N211" s="47"/>
      <c r="O211" s="47"/>
      <c r="P211" s="78"/>
      <c r="Q211" s="46"/>
      <c r="R211" s="78"/>
      <c r="S211" s="47"/>
      <c r="T211" s="47"/>
      <c r="U211" s="111"/>
      <c r="V211" s="47"/>
      <c r="W211" s="47"/>
      <c r="X211" s="147"/>
      <c r="Y211" s="78"/>
      <c r="Z211" s="47"/>
      <c r="AA211" s="47"/>
      <c r="AB211" s="47"/>
      <c r="AC211" s="47"/>
      <c r="AD211" s="46"/>
      <c r="AE211" s="90" t="str">
        <f>IF(C211&lt;&gt;"",HYPERLINK(CONCATENATE(SheetName02,"\",Tools[[#This Row],[Manufacturer]],IF(Tools[[#This Row],[Model]]&lt;&gt;""," "&amp;Tools[[#This Row],[Model]],),".jpg"),CONCATENATE(Tools[[#This Row],[Manufacturer]],IF(Tools[[#This Row],[Model]]&lt;&gt;""," "&amp;Tools[[#This Row],[Model]],),".jpg")),"")</f>
        <v/>
      </c>
      <c r="AG211" s="5" t="str">
        <f t="shared" si="8"/>
        <v/>
      </c>
    </row>
    <row r="212" spans="2:33" x14ac:dyDescent="0.25">
      <c r="B212" s="80" t="str">
        <f t="shared" si="7"/>
        <v/>
      </c>
      <c r="C212" s="153"/>
      <c r="D212" s="153"/>
      <c r="E212" s="78"/>
      <c r="F212" s="47"/>
      <c r="G212" s="47"/>
      <c r="H212" s="47"/>
      <c r="I212" s="47"/>
      <c r="J212" s="47"/>
      <c r="K212" s="44"/>
      <c r="L212" s="47"/>
      <c r="M212" s="47"/>
      <c r="N212" s="47"/>
      <c r="O212" s="47"/>
      <c r="P212" s="78"/>
      <c r="Q212" s="46"/>
      <c r="R212" s="78"/>
      <c r="S212" s="47"/>
      <c r="T212" s="47"/>
      <c r="U212" s="111"/>
      <c r="V212" s="47"/>
      <c r="W212" s="47"/>
      <c r="X212" s="147"/>
      <c r="Y212" s="78"/>
      <c r="Z212" s="47"/>
      <c r="AA212" s="47"/>
      <c r="AB212" s="47"/>
      <c r="AC212" s="47"/>
      <c r="AD212" s="46"/>
      <c r="AE212" s="90" t="str">
        <f>IF(C212&lt;&gt;"",HYPERLINK(CONCATENATE(SheetName02,"\",Tools[[#This Row],[Manufacturer]],IF(Tools[[#This Row],[Model]]&lt;&gt;""," "&amp;Tools[[#This Row],[Model]],),".jpg"),CONCATENATE(Tools[[#This Row],[Manufacturer]],IF(Tools[[#This Row],[Model]]&lt;&gt;""," "&amp;Tools[[#This Row],[Model]],),".jpg")),"")</f>
        <v/>
      </c>
      <c r="AG212" s="5" t="str">
        <f t="shared" si="8"/>
        <v/>
      </c>
    </row>
    <row r="213" spans="2:33" x14ac:dyDescent="0.25">
      <c r="B213" s="80" t="str">
        <f t="shared" si="7"/>
        <v/>
      </c>
      <c r="C213" s="153"/>
      <c r="D213" s="153"/>
      <c r="E213" s="78"/>
      <c r="F213" s="47"/>
      <c r="G213" s="47"/>
      <c r="H213" s="47"/>
      <c r="I213" s="47"/>
      <c r="J213" s="47"/>
      <c r="K213" s="44"/>
      <c r="L213" s="47"/>
      <c r="M213" s="47"/>
      <c r="N213" s="47"/>
      <c r="O213" s="47"/>
      <c r="P213" s="78"/>
      <c r="Q213" s="46"/>
      <c r="R213" s="78"/>
      <c r="S213" s="47"/>
      <c r="T213" s="47"/>
      <c r="U213" s="111"/>
      <c r="V213" s="47"/>
      <c r="W213" s="47"/>
      <c r="X213" s="147"/>
      <c r="Y213" s="78"/>
      <c r="Z213" s="47"/>
      <c r="AA213" s="47"/>
      <c r="AB213" s="47"/>
      <c r="AC213" s="47"/>
      <c r="AD213" s="46"/>
      <c r="AE213" s="90" t="str">
        <f>IF(C213&lt;&gt;"",HYPERLINK(CONCATENATE(SheetName02,"\",Tools[[#This Row],[Manufacturer]],IF(Tools[[#This Row],[Model]]&lt;&gt;""," "&amp;Tools[[#This Row],[Model]],),".jpg"),CONCATENATE(Tools[[#This Row],[Manufacturer]],IF(Tools[[#This Row],[Model]]&lt;&gt;""," "&amp;Tools[[#This Row],[Model]],),".jpg")),"")</f>
        <v/>
      </c>
      <c r="AG213" s="5" t="str">
        <f t="shared" si="8"/>
        <v/>
      </c>
    </row>
    <row r="214" spans="2:33" x14ac:dyDescent="0.25">
      <c r="B214" s="80" t="str">
        <f t="shared" si="7"/>
        <v/>
      </c>
      <c r="C214" s="153"/>
      <c r="D214" s="153"/>
      <c r="E214" s="78"/>
      <c r="F214" s="47"/>
      <c r="G214" s="47"/>
      <c r="H214" s="47"/>
      <c r="I214" s="47"/>
      <c r="J214" s="47"/>
      <c r="K214" s="44"/>
      <c r="L214" s="47"/>
      <c r="M214" s="47"/>
      <c r="N214" s="47"/>
      <c r="O214" s="47"/>
      <c r="P214" s="78"/>
      <c r="Q214" s="46"/>
      <c r="R214" s="78"/>
      <c r="S214" s="47"/>
      <c r="T214" s="47"/>
      <c r="U214" s="111"/>
      <c r="V214" s="47"/>
      <c r="W214" s="47"/>
      <c r="X214" s="147"/>
      <c r="Y214" s="78"/>
      <c r="Z214" s="47"/>
      <c r="AA214" s="47"/>
      <c r="AB214" s="47"/>
      <c r="AC214" s="47"/>
      <c r="AD214" s="46"/>
      <c r="AE214" s="90" t="str">
        <f>IF(C214&lt;&gt;"",HYPERLINK(CONCATENATE(SheetName02,"\",Tools[[#This Row],[Manufacturer]],IF(Tools[[#This Row],[Model]]&lt;&gt;""," "&amp;Tools[[#This Row],[Model]],),".jpg"),CONCATENATE(Tools[[#This Row],[Manufacturer]],IF(Tools[[#This Row],[Model]]&lt;&gt;""," "&amp;Tools[[#This Row],[Model]],),".jpg")),"")</f>
        <v/>
      </c>
      <c r="AG214" s="5" t="str">
        <f t="shared" si="8"/>
        <v/>
      </c>
    </row>
    <row r="215" spans="2:33" x14ac:dyDescent="0.25">
      <c r="B215" s="80" t="str">
        <f t="shared" si="7"/>
        <v/>
      </c>
      <c r="C215" s="153"/>
      <c r="D215" s="153"/>
      <c r="E215" s="78"/>
      <c r="F215" s="47"/>
      <c r="G215" s="47"/>
      <c r="H215" s="47"/>
      <c r="I215" s="47"/>
      <c r="J215" s="47"/>
      <c r="K215" s="44"/>
      <c r="L215" s="47"/>
      <c r="M215" s="47"/>
      <c r="N215" s="47"/>
      <c r="O215" s="47"/>
      <c r="P215" s="78"/>
      <c r="Q215" s="46"/>
      <c r="R215" s="78"/>
      <c r="S215" s="47"/>
      <c r="T215" s="47"/>
      <c r="U215" s="111"/>
      <c r="V215" s="47"/>
      <c r="W215" s="47"/>
      <c r="X215" s="147"/>
      <c r="Y215" s="78"/>
      <c r="Z215" s="47"/>
      <c r="AA215" s="47"/>
      <c r="AB215" s="47"/>
      <c r="AC215" s="47"/>
      <c r="AD215" s="46"/>
      <c r="AE215" s="90" t="str">
        <f>IF(C215&lt;&gt;"",HYPERLINK(CONCATENATE(SheetName02,"\",Tools[[#This Row],[Manufacturer]],IF(Tools[[#This Row],[Model]]&lt;&gt;""," "&amp;Tools[[#This Row],[Model]],),".jpg"),CONCATENATE(Tools[[#This Row],[Manufacturer]],IF(Tools[[#This Row],[Model]]&lt;&gt;""," "&amp;Tools[[#This Row],[Model]],),".jpg")),"")</f>
        <v/>
      </c>
      <c r="AG215" s="5" t="str">
        <f t="shared" si="8"/>
        <v/>
      </c>
    </row>
    <row r="216" spans="2:33" x14ac:dyDescent="0.25">
      <c r="B216" s="80" t="str">
        <f t="shared" si="7"/>
        <v/>
      </c>
      <c r="C216" s="153"/>
      <c r="D216" s="153"/>
      <c r="E216" s="78"/>
      <c r="F216" s="47"/>
      <c r="G216" s="47"/>
      <c r="H216" s="47"/>
      <c r="I216" s="47"/>
      <c r="J216" s="47"/>
      <c r="K216" s="44"/>
      <c r="L216" s="47"/>
      <c r="M216" s="47"/>
      <c r="N216" s="47"/>
      <c r="O216" s="47"/>
      <c r="P216" s="78"/>
      <c r="Q216" s="46"/>
      <c r="R216" s="78"/>
      <c r="S216" s="47"/>
      <c r="T216" s="47"/>
      <c r="U216" s="111"/>
      <c r="V216" s="47"/>
      <c r="W216" s="47"/>
      <c r="X216" s="147"/>
      <c r="Y216" s="78"/>
      <c r="Z216" s="47"/>
      <c r="AA216" s="47"/>
      <c r="AB216" s="47"/>
      <c r="AC216" s="47"/>
      <c r="AD216" s="46"/>
      <c r="AE216" s="90" t="str">
        <f>IF(C216&lt;&gt;"",HYPERLINK(CONCATENATE(SheetName02,"\",Tools[[#This Row],[Manufacturer]],IF(Tools[[#This Row],[Model]]&lt;&gt;""," "&amp;Tools[[#This Row],[Model]],),".jpg"),CONCATENATE(Tools[[#This Row],[Manufacturer]],IF(Tools[[#This Row],[Model]]&lt;&gt;""," "&amp;Tools[[#This Row],[Model]],),".jpg")),"")</f>
        <v/>
      </c>
      <c r="AG216" s="5" t="str">
        <f t="shared" si="8"/>
        <v/>
      </c>
    </row>
    <row r="217" spans="2:33" x14ac:dyDescent="0.25">
      <c r="B217" s="80" t="str">
        <f t="shared" si="7"/>
        <v/>
      </c>
      <c r="C217" s="153"/>
      <c r="D217" s="153"/>
      <c r="E217" s="78"/>
      <c r="F217" s="47"/>
      <c r="G217" s="47"/>
      <c r="H217" s="47"/>
      <c r="I217" s="47"/>
      <c r="J217" s="47"/>
      <c r="K217" s="44"/>
      <c r="L217" s="47"/>
      <c r="M217" s="47"/>
      <c r="N217" s="47"/>
      <c r="O217" s="47"/>
      <c r="P217" s="78"/>
      <c r="Q217" s="46"/>
      <c r="R217" s="78"/>
      <c r="S217" s="47"/>
      <c r="T217" s="47"/>
      <c r="U217" s="111"/>
      <c r="V217" s="47"/>
      <c r="W217" s="47"/>
      <c r="X217" s="147"/>
      <c r="Y217" s="78"/>
      <c r="Z217" s="47"/>
      <c r="AA217" s="47"/>
      <c r="AB217" s="47"/>
      <c r="AC217" s="47"/>
      <c r="AD217" s="46"/>
      <c r="AE217" s="90" t="str">
        <f>IF(C217&lt;&gt;"",HYPERLINK(CONCATENATE(SheetName02,"\",Tools[[#This Row],[Manufacturer]],IF(Tools[[#This Row],[Model]]&lt;&gt;""," "&amp;Tools[[#This Row],[Model]],),".jpg"),CONCATENATE(Tools[[#This Row],[Manufacturer]],IF(Tools[[#This Row],[Model]]&lt;&gt;""," "&amp;Tools[[#This Row],[Model]],),".jpg")),"")</f>
        <v/>
      </c>
      <c r="AG217" s="5" t="str">
        <f t="shared" si="8"/>
        <v/>
      </c>
    </row>
    <row r="218" spans="2:33" x14ac:dyDescent="0.25">
      <c r="B218" s="80" t="str">
        <f t="shared" si="7"/>
        <v/>
      </c>
      <c r="C218" s="153"/>
      <c r="D218" s="153"/>
      <c r="E218" s="78"/>
      <c r="F218" s="47"/>
      <c r="G218" s="47"/>
      <c r="H218" s="47"/>
      <c r="I218" s="47"/>
      <c r="J218" s="47"/>
      <c r="K218" s="44"/>
      <c r="L218" s="47"/>
      <c r="M218" s="47"/>
      <c r="N218" s="47"/>
      <c r="O218" s="47"/>
      <c r="P218" s="78"/>
      <c r="Q218" s="46"/>
      <c r="R218" s="78"/>
      <c r="S218" s="47"/>
      <c r="T218" s="47"/>
      <c r="U218" s="111"/>
      <c r="V218" s="47"/>
      <c r="W218" s="47"/>
      <c r="X218" s="147"/>
      <c r="Y218" s="78"/>
      <c r="Z218" s="47"/>
      <c r="AA218" s="47"/>
      <c r="AB218" s="47"/>
      <c r="AC218" s="47"/>
      <c r="AD218" s="46"/>
      <c r="AE218" s="90" t="str">
        <f>IF(C218&lt;&gt;"",HYPERLINK(CONCATENATE(SheetName02,"\",Tools[[#This Row],[Manufacturer]],IF(Tools[[#This Row],[Model]]&lt;&gt;""," "&amp;Tools[[#This Row],[Model]],),".jpg"),CONCATENATE(Tools[[#This Row],[Manufacturer]],IF(Tools[[#This Row],[Model]]&lt;&gt;""," "&amp;Tools[[#This Row],[Model]],),".jpg")),"")</f>
        <v/>
      </c>
      <c r="AG218" s="5" t="str">
        <f t="shared" si="8"/>
        <v/>
      </c>
    </row>
    <row r="219" spans="2:33" x14ac:dyDescent="0.25">
      <c r="B219" s="80" t="str">
        <f t="shared" si="7"/>
        <v/>
      </c>
      <c r="C219" s="153"/>
      <c r="D219" s="153"/>
      <c r="E219" s="78"/>
      <c r="F219" s="47"/>
      <c r="G219" s="47"/>
      <c r="H219" s="47"/>
      <c r="I219" s="47"/>
      <c r="J219" s="47"/>
      <c r="K219" s="44"/>
      <c r="L219" s="47"/>
      <c r="M219" s="47"/>
      <c r="N219" s="47"/>
      <c r="O219" s="47"/>
      <c r="P219" s="78"/>
      <c r="Q219" s="46"/>
      <c r="R219" s="78"/>
      <c r="S219" s="47"/>
      <c r="T219" s="47"/>
      <c r="U219" s="111"/>
      <c r="V219" s="47"/>
      <c r="W219" s="47"/>
      <c r="X219" s="147"/>
      <c r="Y219" s="78"/>
      <c r="Z219" s="47"/>
      <c r="AA219" s="47"/>
      <c r="AB219" s="47"/>
      <c r="AC219" s="47"/>
      <c r="AD219" s="46"/>
      <c r="AE219" s="90" t="str">
        <f>IF(C219&lt;&gt;"",HYPERLINK(CONCATENATE(SheetName02,"\",Tools[[#This Row],[Manufacturer]],IF(Tools[[#This Row],[Model]]&lt;&gt;""," "&amp;Tools[[#This Row],[Model]],),".jpg"),CONCATENATE(Tools[[#This Row],[Manufacturer]],IF(Tools[[#This Row],[Model]]&lt;&gt;""," "&amp;Tools[[#This Row],[Model]],),".jpg")),"")</f>
        <v/>
      </c>
      <c r="AG219" s="5" t="str">
        <f t="shared" si="8"/>
        <v/>
      </c>
    </row>
    <row r="220" spans="2:33" x14ac:dyDescent="0.25">
      <c r="B220" s="80" t="str">
        <f t="shared" si="7"/>
        <v/>
      </c>
      <c r="C220" s="153"/>
      <c r="D220" s="153"/>
      <c r="E220" s="78"/>
      <c r="F220" s="47"/>
      <c r="G220" s="47"/>
      <c r="H220" s="47"/>
      <c r="I220" s="47"/>
      <c r="J220" s="47"/>
      <c r="K220" s="44"/>
      <c r="L220" s="47"/>
      <c r="M220" s="47"/>
      <c r="N220" s="47"/>
      <c r="O220" s="47"/>
      <c r="P220" s="78"/>
      <c r="Q220" s="46"/>
      <c r="R220" s="78"/>
      <c r="S220" s="47"/>
      <c r="T220" s="47"/>
      <c r="U220" s="111"/>
      <c r="V220" s="47"/>
      <c r="W220" s="47"/>
      <c r="X220" s="147"/>
      <c r="Y220" s="78"/>
      <c r="Z220" s="47"/>
      <c r="AA220" s="47"/>
      <c r="AB220" s="47"/>
      <c r="AC220" s="47"/>
      <c r="AD220" s="46"/>
      <c r="AE220" s="90" t="str">
        <f>IF(C220&lt;&gt;"",HYPERLINK(CONCATENATE(SheetName02,"\",Tools[[#This Row],[Manufacturer]],IF(Tools[[#This Row],[Model]]&lt;&gt;""," "&amp;Tools[[#This Row],[Model]],),".jpg"),CONCATENATE(Tools[[#This Row],[Manufacturer]],IF(Tools[[#This Row],[Model]]&lt;&gt;""," "&amp;Tools[[#This Row],[Model]],),".jpg")),"")</f>
        <v/>
      </c>
      <c r="AG220" s="5" t="str">
        <f t="shared" si="8"/>
        <v/>
      </c>
    </row>
    <row r="221" spans="2:33" x14ac:dyDescent="0.25">
      <c r="B221" s="80" t="str">
        <f t="shared" si="7"/>
        <v/>
      </c>
      <c r="C221" s="153"/>
      <c r="D221" s="153"/>
      <c r="E221" s="78"/>
      <c r="F221" s="47"/>
      <c r="G221" s="47"/>
      <c r="H221" s="47"/>
      <c r="I221" s="47"/>
      <c r="J221" s="47"/>
      <c r="K221" s="44"/>
      <c r="L221" s="47"/>
      <c r="M221" s="47"/>
      <c r="N221" s="47"/>
      <c r="O221" s="47"/>
      <c r="P221" s="78"/>
      <c r="Q221" s="46"/>
      <c r="R221" s="78"/>
      <c r="S221" s="47"/>
      <c r="T221" s="47"/>
      <c r="U221" s="111"/>
      <c r="V221" s="47"/>
      <c r="W221" s="47"/>
      <c r="X221" s="147"/>
      <c r="Y221" s="78"/>
      <c r="Z221" s="47"/>
      <c r="AA221" s="47"/>
      <c r="AB221" s="47"/>
      <c r="AC221" s="47"/>
      <c r="AD221" s="46"/>
      <c r="AE221" s="90" t="str">
        <f>IF(C221&lt;&gt;"",HYPERLINK(CONCATENATE(SheetName02,"\",Tools[[#This Row],[Manufacturer]],IF(Tools[[#This Row],[Model]]&lt;&gt;""," "&amp;Tools[[#This Row],[Model]],),".jpg"),CONCATENATE(Tools[[#This Row],[Manufacturer]],IF(Tools[[#This Row],[Model]]&lt;&gt;""," "&amp;Tools[[#This Row],[Model]],),".jpg")),"")</f>
        <v/>
      </c>
      <c r="AG221" s="5" t="str">
        <f t="shared" si="8"/>
        <v/>
      </c>
    </row>
    <row r="222" spans="2:33" x14ac:dyDescent="0.25">
      <c r="B222" s="80" t="str">
        <f t="shared" si="7"/>
        <v/>
      </c>
      <c r="C222" s="153"/>
      <c r="D222" s="153"/>
      <c r="E222" s="78"/>
      <c r="F222" s="47"/>
      <c r="G222" s="47"/>
      <c r="H222" s="47"/>
      <c r="I222" s="47"/>
      <c r="J222" s="47"/>
      <c r="K222" s="44"/>
      <c r="L222" s="47"/>
      <c r="M222" s="47"/>
      <c r="N222" s="47"/>
      <c r="O222" s="47"/>
      <c r="P222" s="78"/>
      <c r="Q222" s="46"/>
      <c r="R222" s="78"/>
      <c r="S222" s="47"/>
      <c r="T222" s="47"/>
      <c r="U222" s="111"/>
      <c r="V222" s="47"/>
      <c r="W222" s="47"/>
      <c r="X222" s="147"/>
      <c r="Y222" s="78"/>
      <c r="Z222" s="47"/>
      <c r="AA222" s="47"/>
      <c r="AB222" s="47"/>
      <c r="AC222" s="47"/>
      <c r="AD222" s="46"/>
      <c r="AE222" s="90" t="str">
        <f>IF(C222&lt;&gt;"",HYPERLINK(CONCATENATE(SheetName02,"\",Tools[[#This Row],[Manufacturer]],IF(Tools[[#This Row],[Model]]&lt;&gt;""," "&amp;Tools[[#This Row],[Model]],),".jpg"),CONCATENATE(Tools[[#This Row],[Manufacturer]],IF(Tools[[#This Row],[Model]]&lt;&gt;""," "&amp;Tools[[#This Row],[Model]],),".jpg")),"")</f>
        <v/>
      </c>
      <c r="AG222" s="5" t="str">
        <f t="shared" si="8"/>
        <v/>
      </c>
    </row>
    <row r="223" spans="2:33" x14ac:dyDescent="0.25">
      <c r="B223" s="80" t="str">
        <f t="shared" si="7"/>
        <v/>
      </c>
      <c r="C223" s="153"/>
      <c r="D223" s="153"/>
      <c r="E223" s="78"/>
      <c r="F223" s="47"/>
      <c r="G223" s="47"/>
      <c r="H223" s="47"/>
      <c r="I223" s="47"/>
      <c r="J223" s="47"/>
      <c r="K223" s="44"/>
      <c r="L223" s="47"/>
      <c r="M223" s="47"/>
      <c r="N223" s="47"/>
      <c r="O223" s="47"/>
      <c r="P223" s="78"/>
      <c r="Q223" s="46"/>
      <c r="R223" s="78"/>
      <c r="S223" s="47"/>
      <c r="T223" s="47"/>
      <c r="U223" s="111"/>
      <c r="V223" s="47"/>
      <c r="W223" s="47"/>
      <c r="X223" s="147"/>
      <c r="Y223" s="78"/>
      <c r="Z223" s="47"/>
      <c r="AA223" s="47"/>
      <c r="AB223" s="47"/>
      <c r="AC223" s="47"/>
      <c r="AD223" s="46"/>
      <c r="AE223" s="90" t="str">
        <f>IF(C223&lt;&gt;"",HYPERLINK(CONCATENATE(SheetName02,"\",Tools[[#This Row],[Manufacturer]],IF(Tools[[#This Row],[Model]]&lt;&gt;""," "&amp;Tools[[#This Row],[Model]],),".jpg"),CONCATENATE(Tools[[#This Row],[Manufacturer]],IF(Tools[[#This Row],[Model]]&lt;&gt;""," "&amp;Tools[[#This Row],[Model]],),".jpg")),"")</f>
        <v/>
      </c>
      <c r="AG223" s="5" t="str">
        <f t="shared" si="8"/>
        <v/>
      </c>
    </row>
    <row r="224" spans="2:33" x14ac:dyDescent="0.25">
      <c r="B224" s="80" t="str">
        <f t="shared" si="7"/>
        <v/>
      </c>
      <c r="C224" s="153"/>
      <c r="D224" s="153"/>
      <c r="E224" s="78"/>
      <c r="F224" s="47"/>
      <c r="G224" s="47"/>
      <c r="H224" s="47"/>
      <c r="I224" s="47"/>
      <c r="J224" s="47"/>
      <c r="K224" s="44"/>
      <c r="L224" s="47"/>
      <c r="M224" s="47"/>
      <c r="N224" s="47"/>
      <c r="O224" s="47"/>
      <c r="P224" s="78"/>
      <c r="Q224" s="46"/>
      <c r="R224" s="78"/>
      <c r="S224" s="47"/>
      <c r="T224" s="47"/>
      <c r="U224" s="111"/>
      <c r="V224" s="47"/>
      <c r="W224" s="47"/>
      <c r="X224" s="147"/>
      <c r="Y224" s="78"/>
      <c r="Z224" s="47"/>
      <c r="AA224" s="47"/>
      <c r="AB224" s="47"/>
      <c r="AC224" s="47"/>
      <c r="AD224" s="46"/>
      <c r="AE224" s="90" t="str">
        <f>IF(C224&lt;&gt;"",HYPERLINK(CONCATENATE(SheetName02,"\",Tools[[#This Row],[Manufacturer]],IF(Tools[[#This Row],[Model]]&lt;&gt;""," "&amp;Tools[[#This Row],[Model]],),".jpg"),CONCATENATE(Tools[[#This Row],[Manufacturer]],IF(Tools[[#This Row],[Model]]&lt;&gt;""," "&amp;Tools[[#This Row],[Model]],),".jpg")),"")</f>
        <v/>
      </c>
      <c r="AG224" s="5" t="str">
        <f t="shared" si="8"/>
        <v/>
      </c>
    </row>
    <row r="225" spans="2:33" x14ac:dyDescent="0.25">
      <c r="B225" s="80" t="str">
        <f t="shared" si="7"/>
        <v/>
      </c>
      <c r="C225" s="153"/>
      <c r="D225" s="153"/>
      <c r="E225" s="78"/>
      <c r="F225" s="47"/>
      <c r="G225" s="47"/>
      <c r="H225" s="47"/>
      <c r="I225" s="47"/>
      <c r="J225" s="47"/>
      <c r="K225" s="44"/>
      <c r="L225" s="47"/>
      <c r="M225" s="47"/>
      <c r="N225" s="47"/>
      <c r="O225" s="47"/>
      <c r="P225" s="78"/>
      <c r="Q225" s="46"/>
      <c r="R225" s="78"/>
      <c r="S225" s="47"/>
      <c r="T225" s="47"/>
      <c r="U225" s="111"/>
      <c r="V225" s="47"/>
      <c r="W225" s="47"/>
      <c r="X225" s="147"/>
      <c r="Y225" s="78"/>
      <c r="Z225" s="47"/>
      <c r="AA225" s="47"/>
      <c r="AB225" s="47"/>
      <c r="AC225" s="47"/>
      <c r="AD225" s="46"/>
      <c r="AE225" s="90" t="str">
        <f>IF(C225&lt;&gt;"",HYPERLINK(CONCATENATE(SheetName02,"\",Tools[[#This Row],[Manufacturer]],IF(Tools[[#This Row],[Model]]&lt;&gt;""," "&amp;Tools[[#This Row],[Model]],),".jpg"),CONCATENATE(Tools[[#This Row],[Manufacturer]],IF(Tools[[#This Row],[Model]]&lt;&gt;""," "&amp;Tools[[#This Row],[Model]],),".jpg")),"")</f>
        <v/>
      </c>
      <c r="AG225" s="5" t="str">
        <f t="shared" si="8"/>
        <v/>
      </c>
    </row>
    <row r="226" spans="2:33" x14ac:dyDescent="0.25">
      <c r="B226" s="80" t="str">
        <f t="shared" si="7"/>
        <v/>
      </c>
      <c r="C226" s="153"/>
      <c r="D226" s="153"/>
      <c r="E226" s="78"/>
      <c r="F226" s="47"/>
      <c r="G226" s="47"/>
      <c r="H226" s="47"/>
      <c r="I226" s="47"/>
      <c r="J226" s="47"/>
      <c r="K226" s="44"/>
      <c r="L226" s="47"/>
      <c r="M226" s="47"/>
      <c r="N226" s="47"/>
      <c r="O226" s="47"/>
      <c r="P226" s="78"/>
      <c r="Q226" s="46"/>
      <c r="R226" s="78"/>
      <c r="S226" s="47"/>
      <c r="T226" s="47"/>
      <c r="U226" s="111"/>
      <c r="V226" s="47"/>
      <c r="W226" s="47"/>
      <c r="X226" s="147"/>
      <c r="Y226" s="78"/>
      <c r="Z226" s="47"/>
      <c r="AA226" s="47"/>
      <c r="AB226" s="47"/>
      <c r="AC226" s="47"/>
      <c r="AD226" s="46"/>
      <c r="AE226" s="90" t="str">
        <f>IF(C226&lt;&gt;"",HYPERLINK(CONCATENATE(SheetName02,"\",Tools[[#This Row],[Manufacturer]],IF(Tools[[#This Row],[Model]]&lt;&gt;""," "&amp;Tools[[#This Row],[Model]],),".jpg"),CONCATENATE(Tools[[#This Row],[Manufacturer]],IF(Tools[[#This Row],[Model]]&lt;&gt;""," "&amp;Tools[[#This Row],[Model]],),".jpg")),"")</f>
        <v/>
      </c>
      <c r="AG226" s="5" t="str">
        <f t="shared" si="8"/>
        <v/>
      </c>
    </row>
    <row r="227" spans="2:33" x14ac:dyDescent="0.25">
      <c r="B227" s="80" t="str">
        <f t="shared" si="7"/>
        <v/>
      </c>
      <c r="C227" s="153"/>
      <c r="D227" s="153"/>
      <c r="E227" s="78"/>
      <c r="F227" s="47"/>
      <c r="G227" s="47"/>
      <c r="H227" s="47"/>
      <c r="I227" s="47"/>
      <c r="J227" s="47"/>
      <c r="K227" s="44"/>
      <c r="L227" s="47"/>
      <c r="M227" s="47"/>
      <c r="N227" s="47"/>
      <c r="O227" s="47"/>
      <c r="P227" s="78"/>
      <c r="Q227" s="46"/>
      <c r="R227" s="78"/>
      <c r="S227" s="47"/>
      <c r="T227" s="47"/>
      <c r="U227" s="111"/>
      <c r="V227" s="47"/>
      <c r="W227" s="47"/>
      <c r="X227" s="147"/>
      <c r="Y227" s="78"/>
      <c r="Z227" s="47"/>
      <c r="AA227" s="47"/>
      <c r="AB227" s="47"/>
      <c r="AC227" s="47"/>
      <c r="AD227" s="46"/>
      <c r="AE227" s="90" t="str">
        <f>IF(C227&lt;&gt;"",HYPERLINK(CONCATENATE(SheetName02,"\",Tools[[#This Row],[Manufacturer]],IF(Tools[[#This Row],[Model]]&lt;&gt;""," "&amp;Tools[[#This Row],[Model]],),".jpg"),CONCATENATE(Tools[[#This Row],[Manufacturer]],IF(Tools[[#This Row],[Model]]&lt;&gt;""," "&amp;Tools[[#This Row],[Model]],),".jpg")),"")</f>
        <v/>
      </c>
      <c r="AG227" s="5" t="str">
        <f t="shared" si="8"/>
        <v/>
      </c>
    </row>
    <row r="228" spans="2:33" x14ac:dyDescent="0.25">
      <c r="B228" s="80" t="str">
        <f t="shared" si="7"/>
        <v/>
      </c>
      <c r="C228" s="153"/>
      <c r="D228" s="153"/>
      <c r="E228" s="78"/>
      <c r="F228" s="47"/>
      <c r="G228" s="47"/>
      <c r="H228" s="47"/>
      <c r="I228" s="47"/>
      <c r="J228" s="47"/>
      <c r="K228" s="44"/>
      <c r="L228" s="47"/>
      <c r="M228" s="47"/>
      <c r="N228" s="47"/>
      <c r="O228" s="47"/>
      <c r="P228" s="78"/>
      <c r="Q228" s="46"/>
      <c r="R228" s="78"/>
      <c r="S228" s="47"/>
      <c r="T228" s="47"/>
      <c r="U228" s="111"/>
      <c r="V228" s="47"/>
      <c r="W228" s="47"/>
      <c r="X228" s="147"/>
      <c r="Y228" s="78"/>
      <c r="Z228" s="47"/>
      <c r="AA228" s="47"/>
      <c r="AB228" s="47"/>
      <c r="AC228" s="47"/>
      <c r="AD228" s="46"/>
      <c r="AE228" s="90" t="str">
        <f>IF(C228&lt;&gt;"",HYPERLINK(CONCATENATE(SheetName02,"\",Tools[[#This Row],[Manufacturer]],IF(Tools[[#This Row],[Model]]&lt;&gt;""," "&amp;Tools[[#This Row],[Model]],),".jpg"),CONCATENATE(Tools[[#This Row],[Manufacturer]],IF(Tools[[#This Row],[Model]]&lt;&gt;""," "&amp;Tools[[#This Row],[Model]],),".jpg")),"")</f>
        <v/>
      </c>
      <c r="AG228" s="5" t="str">
        <f t="shared" si="8"/>
        <v/>
      </c>
    </row>
    <row r="229" spans="2:33" x14ac:dyDescent="0.25">
      <c r="B229" s="80" t="str">
        <f t="shared" si="7"/>
        <v/>
      </c>
      <c r="C229" s="153"/>
      <c r="D229" s="153"/>
      <c r="E229" s="78"/>
      <c r="F229" s="47"/>
      <c r="G229" s="47"/>
      <c r="H229" s="47"/>
      <c r="I229" s="47"/>
      <c r="J229" s="47"/>
      <c r="K229" s="44"/>
      <c r="L229" s="47"/>
      <c r="M229" s="47"/>
      <c r="N229" s="47"/>
      <c r="O229" s="47"/>
      <c r="P229" s="78"/>
      <c r="Q229" s="46"/>
      <c r="R229" s="78"/>
      <c r="S229" s="47"/>
      <c r="T229" s="47"/>
      <c r="U229" s="111"/>
      <c r="V229" s="47"/>
      <c r="W229" s="47"/>
      <c r="X229" s="147"/>
      <c r="Y229" s="78"/>
      <c r="Z229" s="47"/>
      <c r="AA229" s="47"/>
      <c r="AB229" s="47"/>
      <c r="AC229" s="47"/>
      <c r="AD229" s="46"/>
      <c r="AE229" s="90" t="str">
        <f>IF(C229&lt;&gt;"",HYPERLINK(CONCATENATE(SheetName02,"\",Tools[[#This Row],[Manufacturer]],IF(Tools[[#This Row],[Model]]&lt;&gt;""," "&amp;Tools[[#This Row],[Model]],),".jpg"),CONCATENATE(Tools[[#This Row],[Manufacturer]],IF(Tools[[#This Row],[Model]]&lt;&gt;""," "&amp;Tools[[#This Row],[Model]],),".jpg")),"")</f>
        <v/>
      </c>
      <c r="AG229" s="5" t="str">
        <f t="shared" si="8"/>
        <v/>
      </c>
    </row>
    <row r="230" spans="2:33" x14ac:dyDescent="0.25">
      <c r="B230" s="80" t="str">
        <f t="shared" si="7"/>
        <v/>
      </c>
      <c r="C230" s="153"/>
      <c r="D230" s="153"/>
      <c r="E230" s="78"/>
      <c r="F230" s="47"/>
      <c r="G230" s="47"/>
      <c r="H230" s="47"/>
      <c r="I230" s="47"/>
      <c r="J230" s="47"/>
      <c r="K230" s="44"/>
      <c r="L230" s="47"/>
      <c r="M230" s="47"/>
      <c r="N230" s="47"/>
      <c r="O230" s="47"/>
      <c r="P230" s="78"/>
      <c r="Q230" s="46"/>
      <c r="R230" s="78"/>
      <c r="S230" s="47"/>
      <c r="T230" s="47"/>
      <c r="U230" s="111"/>
      <c r="V230" s="47"/>
      <c r="W230" s="47"/>
      <c r="X230" s="147"/>
      <c r="Y230" s="78"/>
      <c r="Z230" s="47"/>
      <c r="AA230" s="47"/>
      <c r="AB230" s="47"/>
      <c r="AC230" s="47"/>
      <c r="AD230" s="46"/>
      <c r="AE230" s="90" t="str">
        <f>IF(C230&lt;&gt;"",HYPERLINK(CONCATENATE(SheetName02,"\",Tools[[#This Row],[Manufacturer]],IF(Tools[[#This Row],[Model]]&lt;&gt;""," "&amp;Tools[[#This Row],[Model]],),".jpg"),CONCATENATE(Tools[[#This Row],[Manufacturer]],IF(Tools[[#This Row],[Model]]&lt;&gt;""," "&amp;Tools[[#This Row],[Model]],),".jpg")),"")</f>
        <v/>
      </c>
      <c r="AG230" s="5" t="str">
        <f t="shared" si="8"/>
        <v/>
      </c>
    </row>
    <row r="231" spans="2:33" x14ac:dyDescent="0.25">
      <c r="B231" s="80" t="str">
        <f t="shared" si="7"/>
        <v/>
      </c>
      <c r="C231" s="153"/>
      <c r="D231" s="153"/>
      <c r="E231" s="78"/>
      <c r="F231" s="47"/>
      <c r="G231" s="47"/>
      <c r="H231" s="47"/>
      <c r="I231" s="47"/>
      <c r="J231" s="47"/>
      <c r="K231" s="44"/>
      <c r="L231" s="47"/>
      <c r="M231" s="47"/>
      <c r="N231" s="47"/>
      <c r="O231" s="47"/>
      <c r="P231" s="78"/>
      <c r="Q231" s="46"/>
      <c r="R231" s="78"/>
      <c r="S231" s="47"/>
      <c r="T231" s="47"/>
      <c r="U231" s="111"/>
      <c r="V231" s="47"/>
      <c r="W231" s="47"/>
      <c r="X231" s="147"/>
      <c r="Y231" s="78"/>
      <c r="Z231" s="47"/>
      <c r="AA231" s="47"/>
      <c r="AB231" s="47"/>
      <c r="AC231" s="47"/>
      <c r="AD231" s="46"/>
      <c r="AE231" s="90" t="str">
        <f>IF(C231&lt;&gt;"",HYPERLINK(CONCATENATE(SheetName02,"\",Tools[[#This Row],[Manufacturer]],IF(Tools[[#This Row],[Model]]&lt;&gt;""," "&amp;Tools[[#This Row],[Model]],),".jpg"),CONCATENATE(Tools[[#This Row],[Manufacturer]],IF(Tools[[#This Row],[Model]]&lt;&gt;""," "&amp;Tools[[#This Row],[Model]],),".jpg")),"")</f>
        <v/>
      </c>
      <c r="AG231" s="5" t="str">
        <f t="shared" si="8"/>
        <v/>
      </c>
    </row>
    <row r="232" spans="2:33" x14ac:dyDescent="0.25">
      <c r="B232" s="80" t="str">
        <f t="shared" si="7"/>
        <v/>
      </c>
      <c r="C232" s="153"/>
      <c r="D232" s="153"/>
      <c r="E232" s="78"/>
      <c r="F232" s="47"/>
      <c r="G232" s="47"/>
      <c r="H232" s="47"/>
      <c r="I232" s="47"/>
      <c r="J232" s="47"/>
      <c r="K232" s="44"/>
      <c r="L232" s="47"/>
      <c r="M232" s="47"/>
      <c r="N232" s="47"/>
      <c r="O232" s="47"/>
      <c r="P232" s="78"/>
      <c r="Q232" s="46"/>
      <c r="R232" s="78"/>
      <c r="S232" s="47"/>
      <c r="T232" s="47"/>
      <c r="U232" s="111"/>
      <c r="V232" s="47"/>
      <c r="W232" s="47"/>
      <c r="X232" s="147"/>
      <c r="Y232" s="78"/>
      <c r="Z232" s="47"/>
      <c r="AA232" s="47"/>
      <c r="AB232" s="47"/>
      <c r="AC232" s="47"/>
      <c r="AD232" s="46"/>
      <c r="AE232" s="90" t="str">
        <f>IF(C232&lt;&gt;"",HYPERLINK(CONCATENATE(SheetName02,"\",Tools[[#This Row],[Manufacturer]],IF(Tools[[#This Row],[Model]]&lt;&gt;""," "&amp;Tools[[#This Row],[Model]],),".jpg"),CONCATENATE(Tools[[#This Row],[Manufacturer]],IF(Tools[[#This Row],[Model]]&lt;&gt;""," "&amp;Tools[[#This Row],[Model]],),".jpg")),"")</f>
        <v/>
      </c>
      <c r="AG232" s="5" t="str">
        <f t="shared" si="8"/>
        <v/>
      </c>
    </row>
    <row r="233" spans="2:33" x14ac:dyDescent="0.25">
      <c r="B233" s="80" t="str">
        <f t="shared" si="7"/>
        <v/>
      </c>
      <c r="C233" s="153"/>
      <c r="D233" s="153"/>
      <c r="E233" s="78"/>
      <c r="F233" s="47"/>
      <c r="G233" s="47"/>
      <c r="H233" s="47"/>
      <c r="I233" s="47"/>
      <c r="J233" s="47"/>
      <c r="K233" s="44"/>
      <c r="L233" s="47"/>
      <c r="M233" s="47"/>
      <c r="N233" s="47"/>
      <c r="O233" s="47"/>
      <c r="P233" s="78"/>
      <c r="Q233" s="46"/>
      <c r="R233" s="78"/>
      <c r="S233" s="47"/>
      <c r="T233" s="47"/>
      <c r="U233" s="111"/>
      <c r="V233" s="47"/>
      <c r="W233" s="47"/>
      <c r="X233" s="147"/>
      <c r="Y233" s="78"/>
      <c r="Z233" s="47"/>
      <c r="AA233" s="47"/>
      <c r="AB233" s="47"/>
      <c r="AC233" s="47"/>
      <c r="AD233" s="46"/>
      <c r="AE233" s="90" t="str">
        <f>IF(C233&lt;&gt;"",HYPERLINK(CONCATENATE(SheetName02,"\",Tools[[#This Row],[Manufacturer]],IF(Tools[[#This Row],[Model]]&lt;&gt;""," "&amp;Tools[[#This Row],[Model]],),".jpg"),CONCATENATE(Tools[[#This Row],[Manufacturer]],IF(Tools[[#This Row],[Model]]&lt;&gt;""," "&amp;Tools[[#This Row],[Model]],),".jpg")),"")</f>
        <v/>
      </c>
      <c r="AG233" s="5" t="str">
        <f t="shared" si="8"/>
        <v/>
      </c>
    </row>
    <row r="234" spans="2:33" x14ac:dyDescent="0.25">
      <c r="B234" s="80" t="str">
        <f t="shared" si="7"/>
        <v/>
      </c>
      <c r="C234" s="153"/>
      <c r="D234" s="153"/>
      <c r="E234" s="78"/>
      <c r="F234" s="47"/>
      <c r="G234" s="47"/>
      <c r="H234" s="47"/>
      <c r="I234" s="47"/>
      <c r="J234" s="47"/>
      <c r="K234" s="44"/>
      <c r="L234" s="47"/>
      <c r="M234" s="47"/>
      <c r="N234" s="47"/>
      <c r="O234" s="47"/>
      <c r="P234" s="78"/>
      <c r="Q234" s="46"/>
      <c r="R234" s="78"/>
      <c r="S234" s="47"/>
      <c r="T234" s="47"/>
      <c r="U234" s="111"/>
      <c r="V234" s="47"/>
      <c r="W234" s="47"/>
      <c r="X234" s="147"/>
      <c r="Y234" s="78"/>
      <c r="Z234" s="47"/>
      <c r="AA234" s="47"/>
      <c r="AB234" s="47"/>
      <c r="AC234" s="47"/>
      <c r="AD234" s="46"/>
      <c r="AE234" s="90" t="str">
        <f>IF(C234&lt;&gt;"",HYPERLINK(CONCATENATE(SheetName02,"\",Tools[[#This Row],[Manufacturer]],IF(Tools[[#This Row],[Model]]&lt;&gt;""," "&amp;Tools[[#This Row],[Model]],),".jpg"),CONCATENATE(Tools[[#This Row],[Manufacturer]],IF(Tools[[#This Row],[Model]]&lt;&gt;""," "&amp;Tools[[#This Row],[Model]],),".jpg")),"")</f>
        <v/>
      </c>
      <c r="AG234" s="5" t="str">
        <f t="shared" si="8"/>
        <v/>
      </c>
    </row>
    <row r="235" spans="2:33" x14ac:dyDescent="0.25">
      <c r="B235" s="80" t="str">
        <f t="shared" si="7"/>
        <v/>
      </c>
      <c r="C235" s="153"/>
      <c r="D235" s="153"/>
      <c r="E235" s="78"/>
      <c r="F235" s="47"/>
      <c r="G235" s="47"/>
      <c r="H235" s="47"/>
      <c r="I235" s="47"/>
      <c r="J235" s="47"/>
      <c r="K235" s="44"/>
      <c r="L235" s="47"/>
      <c r="M235" s="47"/>
      <c r="N235" s="47"/>
      <c r="O235" s="47"/>
      <c r="P235" s="78"/>
      <c r="Q235" s="46"/>
      <c r="R235" s="78"/>
      <c r="S235" s="47"/>
      <c r="T235" s="47"/>
      <c r="U235" s="111"/>
      <c r="V235" s="47"/>
      <c r="W235" s="47"/>
      <c r="X235" s="147"/>
      <c r="Y235" s="78"/>
      <c r="Z235" s="47"/>
      <c r="AA235" s="47"/>
      <c r="AB235" s="47"/>
      <c r="AC235" s="47"/>
      <c r="AD235" s="46"/>
      <c r="AE235" s="90" t="str">
        <f>IF(C235&lt;&gt;"",HYPERLINK(CONCATENATE(SheetName02,"\",Tools[[#This Row],[Manufacturer]],IF(Tools[[#This Row],[Model]]&lt;&gt;""," "&amp;Tools[[#This Row],[Model]],),".jpg"),CONCATENATE(Tools[[#This Row],[Manufacturer]],IF(Tools[[#This Row],[Model]]&lt;&gt;""," "&amp;Tools[[#This Row],[Model]],),".jpg")),"")</f>
        <v/>
      </c>
      <c r="AG235" s="5" t="str">
        <f t="shared" si="8"/>
        <v/>
      </c>
    </row>
    <row r="236" spans="2:33" x14ac:dyDescent="0.25">
      <c r="B236" s="80" t="str">
        <f t="shared" si="7"/>
        <v/>
      </c>
      <c r="C236" s="153"/>
      <c r="D236" s="153"/>
      <c r="E236" s="78"/>
      <c r="F236" s="47"/>
      <c r="G236" s="47"/>
      <c r="H236" s="47"/>
      <c r="I236" s="47"/>
      <c r="J236" s="47"/>
      <c r="K236" s="44"/>
      <c r="L236" s="47"/>
      <c r="M236" s="47"/>
      <c r="N236" s="47"/>
      <c r="O236" s="47"/>
      <c r="P236" s="78"/>
      <c r="Q236" s="46"/>
      <c r="R236" s="78"/>
      <c r="S236" s="47"/>
      <c r="T236" s="47"/>
      <c r="U236" s="111"/>
      <c r="V236" s="47"/>
      <c r="W236" s="47"/>
      <c r="X236" s="147"/>
      <c r="Y236" s="78"/>
      <c r="Z236" s="47"/>
      <c r="AA236" s="47"/>
      <c r="AB236" s="47"/>
      <c r="AC236" s="47"/>
      <c r="AD236" s="46"/>
      <c r="AE236" s="90" t="str">
        <f>IF(C236&lt;&gt;"",HYPERLINK(CONCATENATE(SheetName02,"\",Tools[[#This Row],[Manufacturer]],IF(Tools[[#This Row],[Model]]&lt;&gt;""," "&amp;Tools[[#This Row],[Model]],),".jpg"),CONCATENATE(Tools[[#This Row],[Manufacturer]],IF(Tools[[#This Row],[Model]]&lt;&gt;""," "&amp;Tools[[#This Row],[Model]],),".jpg")),"")</f>
        <v/>
      </c>
      <c r="AG236" s="5" t="str">
        <f t="shared" si="8"/>
        <v/>
      </c>
    </row>
    <row r="237" spans="2:33" x14ac:dyDescent="0.25">
      <c r="B237" s="80" t="str">
        <f t="shared" si="7"/>
        <v/>
      </c>
      <c r="C237" s="153"/>
      <c r="D237" s="153"/>
      <c r="E237" s="78"/>
      <c r="F237" s="47"/>
      <c r="G237" s="47"/>
      <c r="H237" s="47"/>
      <c r="I237" s="47"/>
      <c r="J237" s="47"/>
      <c r="K237" s="44"/>
      <c r="L237" s="47"/>
      <c r="M237" s="47"/>
      <c r="N237" s="47"/>
      <c r="O237" s="47"/>
      <c r="P237" s="78"/>
      <c r="Q237" s="46"/>
      <c r="R237" s="78"/>
      <c r="S237" s="47"/>
      <c r="T237" s="47"/>
      <c r="U237" s="111"/>
      <c r="V237" s="47"/>
      <c r="W237" s="47"/>
      <c r="X237" s="147"/>
      <c r="Y237" s="78"/>
      <c r="Z237" s="47"/>
      <c r="AA237" s="47"/>
      <c r="AB237" s="47"/>
      <c r="AC237" s="47"/>
      <c r="AD237" s="46"/>
      <c r="AE237" s="90" t="str">
        <f>IF(C237&lt;&gt;"",HYPERLINK(CONCATENATE(SheetName02,"\",Tools[[#This Row],[Manufacturer]],IF(Tools[[#This Row],[Model]]&lt;&gt;""," "&amp;Tools[[#This Row],[Model]],),".jpg"),CONCATENATE(Tools[[#This Row],[Manufacturer]],IF(Tools[[#This Row],[Model]]&lt;&gt;""," "&amp;Tools[[#This Row],[Model]],),".jpg")),"")</f>
        <v/>
      </c>
      <c r="AG237" s="5" t="str">
        <f t="shared" si="8"/>
        <v/>
      </c>
    </row>
    <row r="238" spans="2:33" x14ac:dyDescent="0.25">
      <c r="B238" s="80" t="str">
        <f t="shared" si="7"/>
        <v/>
      </c>
      <c r="C238" s="153"/>
      <c r="D238" s="153"/>
      <c r="E238" s="78"/>
      <c r="F238" s="47"/>
      <c r="G238" s="47"/>
      <c r="H238" s="47"/>
      <c r="I238" s="47"/>
      <c r="J238" s="47"/>
      <c r="K238" s="44"/>
      <c r="L238" s="47"/>
      <c r="M238" s="47"/>
      <c r="N238" s="47"/>
      <c r="O238" s="47"/>
      <c r="P238" s="78"/>
      <c r="Q238" s="46"/>
      <c r="R238" s="78"/>
      <c r="S238" s="47"/>
      <c r="T238" s="47"/>
      <c r="U238" s="111"/>
      <c r="V238" s="47"/>
      <c r="W238" s="47"/>
      <c r="X238" s="147"/>
      <c r="Y238" s="78"/>
      <c r="Z238" s="47"/>
      <c r="AA238" s="47"/>
      <c r="AB238" s="47"/>
      <c r="AC238" s="47"/>
      <c r="AD238" s="46"/>
      <c r="AE238" s="90" t="str">
        <f>IF(C238&lt;&gt;"",HYPERLINK(CONCATENATE(SheetName02,"\",Tools[[#This Row],[Manufacturer]],IF(Tools[[#This Row],[Model]]&lt;&gt;""," "&amp;Tools[[#This Row],[Model]],),".jpg"),CONCATENATE(Tools[[#This Row],[Manufacturer]],IF(Tools[[#This Row],[Model]]&lt;&gt;""," "&amp;Tools[[#This Row],[Model]],),".jpg")),"")</f>
        <v/>
      </c>
      <c r="AG238" s="5" t="str">
        <f t="shared" si="8"/>
        <v/>
      </c>
    </row>
    <row r="239" spans="2:33" x14ac:dyDescent="0.25">
      <c r="B239" s="80" t="str">
        <f t="shared" si="7"/>
        <v/>
      </c>
      <c r="C239" s="153"/>
      <c r="D239" s="153"/>
      <c r="E239" s="78"/>
      <c r="F239" s="47"/>
      <c r="G239" s="47"/>
      <c r="H239" s="47"/>
      <c r="I239" s="47"/>
      <c r="J239" s="47"/>
      <c r="K239" s="44"/>
      <c r="L239" s="47"/>
      <c r="M239" s="47"/>
      <c r="N239" s="47"/>
      <c r="O239" s="47"/>
      <c r="P239" s="78"/>
      <c r="Q239" s="46"/>
      <c r="R239" s="78"/>
      <c r="S239" s="47"/>
      <c r="T239" s="47"/>
      <c r="U239" s="111"/>
      <c r="V239" s="47"/>
      <c r="W239" s="47"/>
      <c r="X239" s="147"/>
      <c r="Y239" s="78"/>
      <c r="Z239" s="47"/>
      <c r="AA239" s="47"/>
      <c r="AB239" s="47"/>
      <c r="AC239" s="47"/>
      <c r="AD239" s="46"/>
      <c r="AE239" s="90" t="str">
        <f>IF(C239&lt;&gt;"",HYPERLINK(CONCATENATE(SheetName02,"\",Tools[[#This Row],[Manufacturer]],IF(Tools[[#This Row],[Model]]&lt;&gt;""," "&amp;Tools[[#This Row],[Model]],),".jpg"),CONCATENATE(Tools[[#This Row],[Manufacturer]],IF(Tools[[#This Row],[Model]]&lt;&gt;""," "&amp;Tools[[#This Row],[Model]],),".jpg")),"")</f>
        <v/>
      </c>
      <c r="AG239" s="5" t="str">
        <f t="shared" si="8"/>
        <v/>
      </c>
    </row>
    <row r="240" spans="2:33" x14ac:dyDescent="0.25">
      <c r="B240" s="80" t="str">
        <f t="shared" si="7"/>
        <v/>
      </c>
      <c r="C240" s="153"/>
      <c r="D240" s="153"/>
      <c r="E240" s="78"/>
      <c r="F240" s="47"/>
      <c r="G240" s="47"/>
      <c r="H240" s="47"/>
      <c r="I240" s="47"/>
      <c r="J240" s="47"/>
      <c r="K240" s="44"/>
      <c r="L240" s="47"/>
      <c r="M240" s="47"/>
      <c r="N240" s="47"/>
      <c r="O240" s="47"/>
      <c r="P240" s="78"/>
      <c r="Q240" s="46"/>
      <c r="R240" s="78"/>
      <c r="S240" s="47"/>
      <c r="T240" s="47"/>
      <c r="U240" s="111"/>
      <c r="V240" s="47"/>
      <c r="W240" s="47"/>
      <c r="X240" s="147"/>
      <c r="Y240" s="78"/>
      <c r="Z240" s="47"/>
      <c r="AA240" s="47"/>
      <c r="AB240" s="47"/>
      <c r="AC240" s="47"/>
      <c r="AD240" s="46"/>
      <c r="AE240" s="90" t="str">
        <f>IF(C240&lt;&gt;"",HYPERLINK(CONCATENATE(SheetName02,"\",Tools[[#This Row],[Manufacturer]],IF(Tools[[#This Row],[Model]]&lt;&gt;""," "&amp;Tools[[#This Row],[Model]],),".jpg"),CONCATENATE(Tools[[#This Row],[Manufacturer]],IF(Tools[[#This Row],[Model]]&lt;&gt;""," "&amp;Tools[[#This Row],[Model]],),".jpg")),"")</f>
        <v/>
      </c>
      <c r="AG240" s="5" t="str">
        <f t="shared" si="8"/>
        <v/>
      </c>
    </row>
    <row r="241" spans="2:33" x14ac:dyDescent="0.25">
      <c r="B241" s="80" t="str">
        <f t="shared" si="7"/>
        <v/>
      </c>
      <c r="C241" s="153"/>
      <c r="D241" s="153"/>
      <c r="E241" s="78"/>
      <c r="F241" s="47"/>
      <c r="G241" s="47"/>
      <c r="H241" s="47"/>
      <c r="I241" s="47"/>
      <c r="J241" s="47"/>
      <c r="K241" s="44"/>
      <c r="L241" s="47"/>
      <c r="M241" s="47"/>
      <c r="N241" s="47"/>
      <c r="O241" s="47"/>
      <c r="P241" s="78"/>
      <c r="Q241" s="46"/>
      <c r="R241" s="78"/>
      <c r="S241" s="47"/>
      <c r="T241" s="47"/>
      <c r="U241" s="111"/>
      <c r="V241" s="47"/>
      <c r="W241" s="47"/>
      <c r="X241" s="147"/>
      <c r="Y241" s="78"/>
      <c r="Z241" s="47"/>
      <c r="AA241" s="47"/>
      <c r="AB241" s="47"/>
      <c r="AC241" s="47"/>
      <c r="AD241" s="46"/>
      <c r="AE241" s="90" t="str">
        <f>IF(C241&lt;&gt;"",HYPERLINK(CONCATENATE(SheetName02,"\",Tools[[#This Row],[Manufacturer]],IF(Tools[[#This Row],[Model]]&lt;&gt;""," "&amp;Tools[[#This Row],[Model]],),".jpg"),CONCATENATE(Tools[[#This Row],[Manufacturer]],IF(Tools[[#This Row],[Model]]&lt;&gt;""," "&amp;Tools[[#This Row],[Model]],),".jpg")),"")</f>
        <v/>
      </c>
      <c r="AG241" s="5" t="str">
        <f t="shared" si="8"/>
        <v/>
      </c>
    </row>
    <row r="242" spans="2:33" x14ac:dyDescent="0.25">
      <c r="B242" s="80" t="str">
        <f t="shared" si="7"/>
        <v/>
      </c>
      <c r="C242" s="153"/>
      <c r="D242" s="153"/>
      <c r="E242" s="78"/>
      <c r="F242" s="47"/>
      <c r="G242" s="47"/>
      <c r="H242" s="47"/>
      <c r="I242" s="47"/>
      <c r="J242" s="47"/>
      <c r="K242" s="44"/>
      <c r="L242" s="47"/>
      <c r="M242" s="47"/>
      <c r="N242" s="47"/>
      <c r="O242" s="47"/>
      <c r="P242" s="78"/>
      <c r="Q242" s="46"/>
      <c r="R242" s="78"/>
      <c r="S242" s="47"/>
      <c r="T242" s="47"/>
      <c r="U242" s="111"/>
      <c r="V242" s="47"/>
      <c r="W242" s="47"/>
      <c r="X242" s="147"/>
      <c r="Y242" s="78"/>
      <c r="Z242" s="47"/>
      <c r="AA242" s="47"/>
      <c r="AB242" s="47"/>
      <c r="AC242" s="47"/>
      <c r="AD242" s="46"/>
      <c r="AE242" s="90" t="str">
        <f>IF(C242&lt;&gt;"",HYPERLINK(CONCATENATE(SheetName02,"\",Tools[[#This Row],[Manufacturer]],IF(Tools[[#This Row],[Model]]&lt;&gt;""," "&amp;Tools[[#This Row],[Model]],),".jpg"),CONCATENATE(Tools[[#This Row],[Manufacturer]],IF(Tools[[#This Row],[Model]]&lt;&gt;""," "&amp;Tools[[#This Row],[Model]],),".jpg")),"")</f>
        <v/>
      </c>
      <c r="AG242" s="5" t="str">
        <f t="shared" si="8"/>
        <v/>
      </c>
    </row>
    <row r="243" spans="2:33" x14ac:dyDescent="0.25">
      <c r="B243" s="80" t="str">
        <f t="shared" si="7"/>
        <v/>
      </c>
      <c r="C243" s="153"/>
      <c r="D243" s="153"/>
      <c r="E243" s="78"/>
      <c r="F243" s="47"/>
      <c r="G243" s="47"/>
      <c r="H243" s="47"/>
      <c r="I243" s="47"/>
      <c r="J243" s="47"/>
      <c r="K243" s="44"/>
      <c r="L243" s="47"/>
      <c r="M243" s="47"/>
      <c r="N243" s="47"/>
      <c r="O243" s="47"/>
      <c r="P243" s="78"/>
      <c r="Q243" s="46"/>
      <c r="R243" s="78"/>
      <c r="S243" s="47"/>
      <c r="T243" s="47"/>
      <c r="U243" s="111"/>
      <c r="V243" s="47"/>
      <c r="W243" s="47"/>
      <c r="X243" s="147"/>
      <c r="Y243" s="78"/>
      <c r="Z243" s="47"/>
      <c r="AA243" s="47"/>
      <c r="AB243" s="47"/>
      <c r="AC243" s="47"/>
      <c r="AD243" s="46"/>
      <c r="AE243" s="90" t="str">
        <f>IF(C243&lt;&gt;"",HYPERLINK(CONCATENATE(SheetName02,"\",Tools[[#This Row],[Manufacturer]],IF(Tools[[#This Row],[Model]]&lt;&gt;""," "&amp;Tools[[#This Row],[Model]],),".jpg"),CONCATENATE(Tools[[#This Row],[Manufacturer]],IF(Tools[[#This Row],[Model]]&lt;&gt;""," "&amp;Tools[[#This Row],[Model]],),".jpg")),"")</f>
        <v/>
      </c>
      <c r="AG243" s="5" t="str">
        <f t="shared" si="8"/>
        <v/>
      </c>
    </row>
    <row r="244" spans="2:33" x14ac:dyDescent="0.25">
      <c r="B244" s="80" t="str">
        <f t="shared" si="7"/>
        <v/>
      </c>
      <c r="C244" s="153"/>
      <c r="D244" s="153"/>
      <c r="E244" s="78"/>
      <c r="F244" s="47"/>
      <c r="G244" s="47"/>
      <c r="H244" s="47"/>
      <c r="I244" s="47"/>
      <c r="J244" s="47"/>
      <c r="K244" s="44"/>
      <c r="L244" s="47"/>
      <c r="M244" s="47"/>
      <c r="N244" s="47"/>
      <c r="O244" s="47"/>
      <c r="P244" s="78"/>
      <c r="Q244" s="46"/>
      <c r="R244" s="78"/>
      <c r="S244" s="47"/>
      <c r="T244" s="47"/>
      <c r="U244" s="111"/>
      <c r="V244" s="47"/>
      <c r="W244" s="47"/>
      <c r="X244" s="147"/>
      <c r="Y244" s="78"/>
      <c r="Z244" s="47"/>
      <c r="AA244" s="47"/>
      <c r="AB244" s="47"/>
      <c r="AC244" s="47"/>
      <c r="AD244" s="46"/>
      <c r="AE244" s="90" t="str">
        <f>IF(C244&lt;&gt;"",HYPERLINK(CONCATENATE(SheetName02,"\",Tools[[#This Row],[Manufacturer]],IF(Tools[[#This Row],[Model]]&lt;&gt;""," "&amp;Tools[[#This Row],[Model]],),".jpg"),CONCATENATE(Tools[[#This Row],[Manufacturer]],IF(Tools[[#This Row],[Model]]&lt;&gt;""," "&amp;Tools[[#This Row],[Model]],),".jpg")),"")</f>
        <v/>
      </c>
      <c r="AG244" s="5" t="str">
        <f t="shared" si="8"/>
        <v/>
      </c>
    </row>
    <row r="245" spans="2:33" x14ac:dyDescent="0.25">
      <c r="B245" s="80" t="str">
        <f t="shared" si="7"/>
        <v/>
      </c>
      <c r="C245" s="153"/>
      <c r="D245" s="153"/>
      <c r="E245" s="78"/>
      <c r="F245" s="47"/>
      <c r="G245" s="47"/>
      <c r="H245" s="47"/>
      <c r="I245" s="47"/>
      <c r="J245" s="47"/>
      <c r="K245" s="44"/>
      <c r="L245" s="47"/>
      <c r="M245" s="47"/>
      <c r="N245" s="47"/>
      <c r="O245" s="47"/>
      <c r="P245" s="78"/>
      <c r="Q245" s="46"/>
      <c r="R245" s="78"/>
      <c r="S245" s="47"/>
      <c r="T245" s="47"/>
      <c r="U245" s="111"/>
      <c r="V245" s="47"/>
      <c r="W245" s="47"/>
      <c r="X245" s="147"/>
      <c r="Y245" s="78"/>
      <c r="Z245" s="47"/>
      <c r="AA245" s="47"/>
      <c r="AB245" s="47"/>
      <c r="AC245" s="47"/>
      <c r="AD245" s="46"/>
      <c r="AE245" s="90" t="str">
        <f>IF(C245&lt;&gt;"",HYPERLINK(CONCATENATE(SheetName02,"\",Tools[[#This Row],[Manufacturer]],IF(Tools[[#This Row],[Model]]&lt;&gt;""," "&amp;Tools[[#This Row],[Model]],),".jpg"),CONCATENATE(Tools[[#This Row],[Manufacturer]],IF(Tools[[#This Row],[Model]]&lt;&gt;""," "&amp;Tools[[#This Row],[Model]],),".jpg")),"")</f>
        <v/>
      </c>
      <c r="AG245" s="5" t="str">
        <f t="shared" si="8"/>
        <v/>
      </c>
    </row>
    <row r="246" spans="2:33" x14ac:dyDescent="0.25">
      <c r="B246" s="80" t="str">
        <f t="shared" si="7"/>
        <v/>
      </c>
      <c r="C246" s="153"/>
      <c r="D246" s="153"/>
      <c r="E246" s="78"/>
      <c r="F246" s="47"/>
      <c r="G246" s="47"/>
      <c r="H246" s="47"/>
      <c r="I246" s="47"/>
      <c r="J246" s="47"/>
      <c r="K246" s="44"/>
      <c r="L246" s="47"/>
      <c r="M246" s="47"/>
      <c r="N246" s="47"/>
      <c r="O246" s="47"/>
      <c r="P246" s="78"/>
      <c r="Q246" s="46"/>
      <c r="R246" s="78"/>
      <c r="S246" s="47"/>
      <c r="T246" s="47"/>
      <c r="U246" s="111"/>
      <c r="V246" s="47"/>
      <c r="W246" s="47"/>
      <c r="X246" s="147"/>
      <c r="Y246" s="78"/>
      <c r="Z246" s="47"/>
      <c r="AA246" s="47"/>
      <c r="AB246" s="47"/>
      <c r="AC246" s="47"/>
      <c r="AD246" s="46"/>
      <c r="AE246" s="90" t="str">
        <f>IF(C246&lt;&gt;"",HYPERLINK(CONCATENATE(SheetName02,"\",Tools[[#This Row],[Manufacturer]],IF(Tools[[#This Row],[Model]]&lt;&gt;""," "&amp;Tools[[#This Row],[Model]],),".jpg"),CONCATENATE(Tools[[#This Row],[Manufacturer]],IF(Tools[[#This Row],[Model]]&lt;&gt;""," "&amp;Tools[[#This Row],[Model]],),".jpg")),"")</f>
        <v/>
      </c>
      <c r="AG246" s="5" t="str">
        <f t="shared" si="8"/>
        <v/>
      </c>
    </row>
    <row r="247" spans="2:33" x14ac:dyDescent="0.25">
      <c r="B247" s="80" t="str">
        <f t="shared" si="7"/>
        <v/>
      </c>
      <c r="C247" s="153"/>
      <c r="D247" s="153"/>
      <c r="E247" s="78"/>
      <c r="F247" s="47"/>
      <c r="G247" s="47"/>
      <c r="H247" s="47"/>
      <c r="I247" s="47"/>
      <c r="J247" s="47"/>
      <c r="K247" s="44"/>
      <c r="L247" s="47"/>
      <c r="M247" s="47"/>
      <c r="N247" s="47"/>
      <c r="O247" s="47"/>
      <c r="P247" s="78"/>
      <c r="Q247" s="46"/>
      <c r="R247" s="78"/>
      <c r="S247" s="47"/>
      <c r="T247" s="47"/>
      <c r="U247" s="111"/>
      <c r="V247" s="47"/>
      <c r="W247" s="47"/>
      <c r="X247" s="147"/>
      <c r="Y247" s="78"/>
      <c r="Z247" s="47"/>
      <c r="AA247" s="47"/>
      <c r="AB247" s="47"/>
      <c r="AC247" s="47"/>
      <c r="AD247" s="46"/>
      <c r="AE247" s="90" t="str">
        <f>IF(C247&lt;&gt;"",HYPERLINK(CONCATENATE(SheetName02,"\",Tools[[#This Row],[Manufacturer]],IF(Tools[[#This Row],[Model]]&lt;&gt;""," "&amp;Tools[[#This Row],[Model]],),".jpg"),CONCATENATE(Tools[[#This Row],[Manufacturer]],IF(Tools[[#This Row],[Model]]&lt;&gt;""," "&amp;Tools[[#This Row],[Model]],),".jpg")),"")</f>
        <v/>
      </c>
      <c r="AG247" s="5" t="str">
        <f t="shared" si="8"/>
        <v/>
      </c>
    </row>
    <row r="248" spans="2:33" x14ac:dyDescent="0.25">
      <c r="B248" s="80" t="str">
        <f t="shared" si="7"/>
        <v/>
      </c>
      <c r="C248" s="153"/>
      <c r="D248" s="153"/>
      <c r="E248" s="78"/>
      <c r="F248" s="47"/>
      <c r="G248" s="47"/>
      <c r="H248" s="47"/>
      <c r="I248" s="47"/>
      <c r="J248" s="47"/>
      <c r="K248" s="44"/>
      <c r="L248" s="47"/>
      <c r="M248" s="47"/>
      <c r="N248" s="47"/>
      <c r="O248" s="47"/>
      <c r="P248" s="78"/>
      <c r="Q248" s="46"/>
      <c r="R248" s="78"/>
      <c r="S248" s="47"/>
      <c r="T248" s="47"/>
      <c r="U248" s="111"/>
      <c r="V248" s="47"/>
      <c r="W248" s="47"/>
      <c r="X248" s="147"/>
      <c r="Y248" s="78"/>
      <c r="Z248" s="47"/>
      <c r="AA248" s="47"/>
      <c r="AB248" s="47"/>
      <c r="AC248" s="47"/>
      <c r="AD248" s="46"/>
      <c r="AE248" s="90" t="str">
        <f>IF(C248&lt;&gt;"",HYPERLINK(CONCATENATE(SheetName02,"\",Tools[[#This Row],[Manufacturer]],IF(Tools[[#This Row],[Model]]&lt;&gt;""," "&amp;Tools[[#This Row],[Model]],),".jpg"),CONCATENATE(Tools[[#This Row],[Manufacturer]],IF(Tools[[#This Row],[Model]]&lt;&gt;""," "&amp;Tools[[#This Row],[Model]],),".jpg")),"")</f>
        <v/>
      </c>
      <c r="AG248" s="5" t="str">
        <f t="shared" si="8"/>
        <v/>
      </c>
    </row>
    <row r="249" spans="2:33" x14ac:dyDescent="0.25">
      <c r="B249" s="80" t="str">
        <f t="shared" si="7"/>
        <v/>
      </c>
      <c r="C249" s="153"/>
      <c r="D249" s="153"/>
      <c r="E249" s="78"/>
      <c r="F249" s="47"/>
      <c r="G249" s="47"/>
      <c r="H249" s="47"/>
      <c r="I249" s="47"/>
      <c r="J249" s="47"/>
      <c r="K249" s="44"/>
      <c r="L249" s="47"/>
      <c r="M249" s="47"/>
      <c r="N249" s="47"/>
      <c r="O249" s="47"/>
      <c r="P249" s="78"/>
      <c r="Q249" s="46"/>
      <c r="R249" s="78"/>
      <c r="S249" s="47"/>
      <c r="T249" s="47"/>
      <c r="U249" s="111"/>
      <c r="V249" s="47"/>
      <c r="W249" s="47"/>
      <c r="X249" s="147"/>
      <c r="Y249" s="78"/>
      <c r="Z249" s="47"/>
      <c r="AA249" s="47"/>
      <c r="AB249" s="47"/>
      <c r="AC249" s="47"/>
      <c r="AD249" s="46"/>
      <c r="AE249" s="90" t="str">
        <f>IF(C249&lt;&gt;"",HYPERLINK(CONCATENATE(SheetName02,"\",Tools[[#This Row],[Manufacturer]],IF(Tools[[#This Row],[Model]]&lt;&gt;""," "&amp;Tools[[#This Row],[Model]],),".jpg"),CONCATENATE(Tools[[#This Row],[Manufacturer]],IF(Tools[[#This Row],[Model]]&lt;&gt;""," "&amp;Tools[[#This Row],[Model]],),".jpg")),"")</f>
        <v/>
      </c>
      <c r="AG249" s="5" t="str">
        <f t="shared" si="8"/>
        <v/>
      </c>
    </row>
    <row r="250" spans="2:33" x14ac:dyDescent="0.25">
      <c r="B250" s="80" t="str">
        <f t="shared" si="7"/>
        <v/>
      </c>
      <c r="C250" s="153"/>
      <c r="D250" s="153"/>
      <c r="E250" s="78"/>
      <c r="F250" s="47"/>
      <c r="G250" s="47"/>
      <c r="H250" s="47"/>
      <c r="I250" s="47"/>
      <c r="J250" s="47"/>
      <c r="K250" s="44"/>
      <c r="L250" s="47"/>
      <c r="M250" s="47"/>
      <c r="N250" s="47"/>
      <c r="O250" s="47"/>
      <c r="P250" s="78"/>
      <c r="Q250" s="46"/>
      <c r="R250" s="78"/>
      <c r="S250" s="47"/>
      <c r="T250" s="47"/>
      <c r="U250" s="111"/>
      <c r="V250" s="47"/>
      <c r="W250" s="47"/>
      <c r="X250" s="147"/>
      <c r="Y250" s="78"/>
      <c r="Z250" s="47"/>
      <c r="AA250" s="47"/>
      <c r="AB250" s="47"/>
      <c r="AC250" s="47"/>
      <c r="AD250" s="46"/>
      <c r="AE250" s="90" t="str">
        <f>IF(C250&lt;&gt;"",HYPERLINK(CONCATENATE(SheetName02,"\",Tools[[#This Row],[Manufacturer]],IF(Tools[[#This Row],[Model]]&lt;&gt;""," "&amp;Tools[[#This Row],[Model]],),".jpg"),CONCATENATE(Tools[[#This Row],[Manufacturer]],IF(Tools[[#This Row],[Model]]&lt;&gt;""," "&amp;Tools[[#This Row],[Model]],),".jpg")),"")</f>
        <v/>
      </c>
      <c r="AG250" s="5" t="str">
        <f t="shared" si="8"/>
        <v/>
      </c>
    </row>
    <row r="251" spans="2:33" x14ac:dyDescent="0.25">
      <c r="B251" s="80" t="str">
        <f t="shared" si="7"/>
        <v/>
      </c>
      <c r="C251" s="153"/>
      <c r="D251" s="153"/>
      <c r="E251" s="78"/>
      <c r="F251" s="47"/>
      <c r="G251" s="47"/>
      <c r="H251" s="47"/>
      <c r="I251" s="47"/>
      <c r="J251" s="47"/>
      <c r="K251" s="44"/>
      <c r="L251" s="47"/>
      <c r="M251" s="47"/>
      <c r="N251" s="47"/>
      <c r="O251" s="47"/>
      <c r="P251" s="78"/>
      <c r="Q251" s="46"/>
      <c r="R251" s="78"/>
      <c r="S251" s="47"/>
      <c r="T251" s="47"/>
      <c r="U251" s="111"/>
      <c r="V251" s="47"/>
      <c r="W251" s="47"/>
      <c r="X251" s="147"/>
      <c r="Y251" s="78"/>
      <c r="Z251" s="47"/>
      <c r="AA251" s="47"/>
      <c r="AB251" s="47"/>
      <c r="AC251" s="47"/>
      <c r="AD251" s="46"/>
      <c r="AE251" s="90" t="str">
        <f>IF(C251&lt;&gt;"",HYPERLINK(CONCATENATE(SheetName02,"\",Tools[[#This Row],[Manufacturer]],IF(Tools[[#This Row],[Model]]&lt;&gt;""," "&amp;Tools[[#This Row],[Model]],),".jpg"),CONCATENATE(Tools[[#This Row],[Manufacturer]],IF(Tools[[#This Row],[Model]]&lt;&gt;""," "&amp;Tools[[#This Row],[Model]],),".jpg")),"")</f>
        <v/>
      </c>
      <c r="AG251" s="5" t="str">
        <f t="shared" si="8"/>
        <v/>
      </c>
    </row>
    <row r="252" spans="2:33" x14ac:dyDescent="0.25">
      <c r="B252" s="80" t="str">
        <f t="shared" si="7"/>
        <v/>
      </c>
      <c r="C252" s="153"/>
      <c r="D252" s="153"/>
      <c r="E252" s="78"/>
      <c r="F252" s="47"/>
      <c r="G252" s="47"/>
      <c r="H252" s="47"/>
      <c r="I252" s="47"/>
      <c r="J252" s="47"/>
      <c r="K252" s="44"/>
      <c r="L252" s="47"/>
      <c r="M252" s="47"/>
      <c r="N252" s="47"/>
      <c r="O252" s="47"/>
      <c r="P252" s="78"/>
      <c r="Q252" s="46"/>
      <c r="R252" s="78"/>
      <c r="S252" s="47"/>
      <c r="T252" s="47"/>
      <c r="U252" s="111"/>
      <c r="V252" s="47"/>
      <c r="W252" s="47"/>
      <c r="X252" s="147"/>
      <c r="Y252" s="78"/>
      <c r="Z252" s="47"/>
      <c r="AA252" s="47"/>
      <c r="AB252" s="47"/>
      <c r="AC252" s="47"/>
      <c r="AD252" s="46"/>
      <c r="AE252" s="90" t="str">
        <f>IF(C252&lt;&gt;"",HYPERLINK(CONCATENATE(SheetName02,"\",Tools[[#This Row],[Manufacturer]],IF(Tools[[#This Row],[Model]]&lt;&gt;""," "&amp;Tools[[#This Row],[Model]],),".jpg"),CONCATENATE(Tools[[#This Row],[Manufacturer]],IF(Tools[[#This Row],[Model]]&lt;&gt;""," "&amp;Tools[[#This Row],[Model]],),".jpg")),"")</f>
        <v/>
      </c>
      <c r="AG252" s="5" t="str">
        <f t="shared" si="8"/>
        <v/>
      </c>
    </row>
    <row r="253" spans="2:33" x14ac:dyDescent="0.25">
      <c r="B253" s="80" t="str">
        <f t="shared" si="7"/>
        <v/>
      </c>
      <c r="C253" s="153"/>
      <c r="D253" s="153"/>
      <c r="E253" s="78"/>
      <c r="F253" s="47"/>
      <c r="G253" s="47"/>
      <c r="H253" s="47"/>
      <c r="I253" s="47"/>
      <c r="J253" s="47"/>
      <c r="K253" s="44"/>
      <c r="L253" s="47"/>
      <c r="M253" s="47"/>
      <c r="N253" s="47"/>
      <c r="O253" s="47"/>
      <c r="P253" s="78"/>
      <c r="Q253" s="46"/>
      <c r="R253" s="78"/>
      <c r="S253" s="47"/>
      <c r="T253" s="47"/>
      <c r="U253" s="111"/>
      <c r="V253" s="47"/>
      <c r="W253" s="47"/>
      <c r="X253" s="147"/>
      <c r="Y253" s="78"/>
      <c r="Z253" s="47"/>
      <c r="AA253" s="47"/>
      <c r="AB253" s="47"/>
      <c r="AC253" s="47"/>
      <c r="AD253" s="46"/>
      <c r="AE253" s="90" t="str">
        <f>IF(C253&lt;&gt;"",HYPERLINK(CONCATENATE(SheetName02,"\",Tools[[#This Row],[Manufacturer]],IF(Tools[[#This Row],[Model]]&lt;&gt;""," "&amp;Tools[[#This Row],[Model]],),".jpg"),CONCATENATE(Tools[[#This Row],[Manufacturer]],IF(Tools[[#This Row],[Model]]&lt;&gt;""," "&amp;Tools[[#This Row],[Model]],),".jpg")),"")</f>
        <v/>
      </c>
      <c r="AG253" s="5" t="str">
        <f t="shared" si="8"/>
        <v/>
      </c>
    </row>
    <row r="254" spans="2:33" x14ac:dyDescent="0.25">
      <c r="B254" s="80" t="str">
        <f t="shared" si="7"/>
        <v/>
      </c>
      <c r="C254" s="153"/>
      <c r="D254" s="153"/>
      <c r="E254" s="78"/>
      <c r="F254" s="47"/>
      <c r="G254" s="47"/>
      <c r="H254" s="47"/>
      <c r="I254" s="47"/>
      <c r="J254" s="47"/>
      <c r="K254" s="44"/>
      <c r="L254" s="47"/>
      <c r="M254" s="47"/>
      <c r="N254" s="47"/>
      <c r="O254" s="47"/>
      <c r="P254" s="78"/>
      <c r="Q254" s="46"/>
      <c r="R254" s="78"/>
      <c r="S254" s="47"/>
      <c r="T254" s="47"/>
      <c r="U254" s="111"/>
      <c r="V254" s="47"/>
      <c r="W254" s="47"/>
      <c r="X254" s="147"/>
      <c r="Y254" s="78"/>
      <c r="Z254" s="47"/>
      <c r="AA254" s="47"/>
      <c r="AB254" s="47"/>
      <c r="AC254" s="47"/>
      <c r="AD254" s="46"/>
      <c r="AE254" s="90" t="str">
        <f>IF(C254&lt;&gt;"",HYPERLINK(CONCATENATE(SheetName02,"\",Tools[[#This Row],[Manufacturer]],IF(Tools[[#This Row],[Model]]&lt;&gt;""," "&amp;Tools[[#This Row],[Model]],),".jpg"),CONCATENATE(Tools[[#This Row],[Manufacturer]],IF(Tools[[#This Row],[Model]]&lt;&gt;""," "&amp;Tools[[#This Row],[Model]],),".jpg")),"")</f>
        <v/>
      </c>
      <c r="AG254" s="5" t="str">
        <f t="shared" si="8"/>
        <v/>
      </c>
    </row>
    <row r="255" spans="2:33" x14ac:dyDescent="0.25">
      <c r="B255" s="80" t="str">
        <f t="shared" si="7"/>
        <v/>
      </c>
      <c r="C255" s="153"/>
      <c r="D255" s="153"/>
      <c r="E255" s="78"/>
      <c r="F255" s="47"/>
      <c r="G255" s="47"/>
      <c r="H255" s="47"/>
      <c r="I255" s="47"/>
      <c r="J255" s="47"/>
      <c r="K255" s="44"/>
      <c r="L255" s="47"/>
      <c r="M255" s="47"/>
      <c r="N255" s="47"/>
      <c r="O255" s="47"/>
      <c r="P255" s="78"/>
      <c r="Q255" s="46"/>
      <c r="R255" s="78"/>
      <c r="S255" s="47"/>
      <c r="T255" s="47"/>
      <c r="U255" s="111"/>
      <c r="V255" s="47"/>
      <c r="W255" s="47"/>
      <c r="X255" s="147"/>
      <c r="Y255" s="78"/>
      <c r="Z255" s="47"/>
      <c r="AA255" s="47"/>
      <c r="AB255" s="47"/>
      <c r="AC255" s="47"/>
      <c r="AD255" s="46"/>
      <c r="AE255" s="90" t="str">
        <f>IF(C255&lt;&gt;"",HYPERLINK(CONCATENATE(SheetName02,"\",Tools[[#This Row],[Manufacturer]],IF(Tools[[#This Row],[Model]]&lt;&gt;""," "&amp;Tools[[#This Row],[Model]],),".jpg"),CONCATENATE(Tools[[#This Row],[Manufacturer]],IF(Tools[[#This Row],[Model]]&lt;&gt;""," "&amp;Tools[[#This Row],[Model]],),".jpg")),"")</f>
        <v/>
      </c>
      <c r="AG255" s="5" t="str">
        <f t="shared" si="8"/>
        <v/>
      </c>
    </row>
  </sheetData>
  <sheetProtection sheet="1" objects="1" scenarios="1" formatCells="0" formatColumns="0" formatRows="0" insertColumns="0" sort="0" autoFilter="0"/>
  <mergeCells count="4">
    <mergeCell ref="C2:Q2"/>
    <mergeCell ref="Z2:AB2"/>
    <mergeCell ref="R2:U2"/>
    <mergeCell ref="V2:W2"/>
  </mergeCells>
  <conditionalFormatting sqref="T6:T255">
    <cfRule type="expression" dxfId="80" priority="5">
      <formula>AND($T6&lt;&gt;DefaultTJD,$T6&lt;&gt;"")</formula>
    </cfRule>
  </conditionalFormatting>
  <conditionalFormatting sqref="T4">
    <cfRule type="expression" dxfId="79" priority="2">
      <formula>AND($T4&lt;&gt;DefaultTJD,$T4&lt;&gt;"")</formula>
    </cfRule>
  </conditionalFormatting>
  <conditionalFormatting sqref="T5">
    <cfRule type="expression" dxfId="78" priority="1">
      <formula>AND($T5&lt;&gt;DefaultTJD,$T5&lt;&gt;"")</formula>
    </cfRule>
  </conditionalFormatting>
  <dataValidations count="3">
    <dataValidation type="list" allowBlank="1" sqref="K4:K255">
      <formula1>ToolsGrindDList</formula1>
    </dataValidation>
    <dataValidation type="list" allowBlank="1" sqref="R4:R255">
      <formula1>JigsToolsAllDList</formula1>
    </dataValidation>
    <dataValidation type="custom" allowBlank="1" showInputMessage="1" showErrorMessage="1" sqref="C4:C255">
      <formula1>COUNTIF($C$3:$C3,"")=0</formula1>
    </dataValidation>
  </dataValidations>
  <pageMargins left="0.51181102362204722" right="0.51181102362204722" top="0.39370078740157483" bottom="0.39370078740157483" header="0.31496062992125984" footer="0.31496062992125984"/>
  <pageSetup paperSize="9" scale="50" fitToWidth="2" fitToHeight="0" pageOrder="overThenDown" orientation="landscape" draft="1" horizontalDpi="0" verticalDpi="0" r:id="rId1"/>
  <legacy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ist3">
    <tabColor theme="9" tint="0.59999389629810485"/>
  </sheetPr>
  <dimension ref="B2:E44"/>
  <sheetViews>
    <sheetView zoomScaleNormal="100" workbookViewId="0">
      <selection activeCell="D7" sqref="D7"/>
    </sheetView>
  </sheetViews>
  <sheetFormatPr defaultRowHeight="15" x14ac:dyDescent="0.25"/>
  <cols>
    <col min="1" max="1" width="3.28515625" style="5" customWidth="1"/>
    <col min="2" max="2" width="44" style="5" customWidth="1"/>
    <col min="3" max="4" width="14" style="5" customWidth="1"/>
    <col min="5" max="6" width="9.140625" style="5" customWidth="1"/>
    <col min="7" max="16384" width="9.140625" style="5"/>
  </cols>
  <sheetData>
    <row r="2" spans="2:5" ht="15.75" x14ac:dyDescent="0.25">
      <c r="B2" s="274" t="s">
        <v>207</v>
      </c>
      <c r="C2" s="236"/>
      <c r="D2" s="237"/>
    </row>
    <row r="3" spans="2:5" x14ac:dyDescent="0.25">
      <c r="B3" s="8"/>
      <c r="C3" s="270"/>
      <c r="D3" s="271"/>
    </row>
    <row r="4" spans="2:5" x14ac:dyDescent="0.25">
      <c r="B4" s="9"/>
      <c r="C4" s="128" t="s">
        <v>47</v>
      </c>
      <c r="D4" s="128" t="s">
        <v>48</v>
      </c>
    </row>
    <row r="5" spans="2:5" x14ac:dyDescent="0.25">
      <c r="B5" s="127" t="s">
        <v>114</v>
      </c>
      <c r="C5" s="277"/>
      <c r="D5" s="278"/>
    </row>
    <row r="6" spans="2:5" x14ac:dyDescent="0.25">
      <c r="B6" s="9"/>
      <c r="C6" s="275"/>
      <c r="D6" s="276"/>
    </row>
    <row r="7" spans="2:5" x14ac:dyDescent="0.25">
      <c r="B7" s="100" t="s">
        <v>54</v>
      </c>
      <c r="C7" s="129">
        <f>IF($D$7&lt;=0,DefaultWheelDia,IF(ISTEXT($D$7),IF(ISNA(HLOOKUP($D$7,TormekCalc!$G$4:$S$12,9,0)),250,HLOOKUP($D$7,TormekCalc!$G$4:$S$12,9,0)),$D$7))</f>
        <v>250</v>
      </c>
      <c r="D7" s="213" t="s">
        <v>5</v>
      </c>
      <c r="E7" s="13"/>
    </row>
    <row r="8" spans="2:5" x14ac:dyDescent="0.25">
      <c r="B8" s="100" t="s">
        <v>16</v>
      </c>
      <c r="C8" s="101">
        <f>IF($D$8=0,IF($C$5="",DefaultJPL,IF(ISERROR(MATCH($C$5,Jigs!$D6:$D105,0)),DefaultJPL,IF( AND(ISNUMBER(INDEX(Jigs!$H6:$H105,MATCH($C$5,Jigs!$D$6:$D$105,0))),INDEX(Jigs!$H6:$H105,MATCH($C$5,Jigs!$D$6:$D$105,0))&lt;&gt;0),INDEX(Jigs!$H6:$H105,MATCH($C$5,Jigs!$D$6:$D$105,0))+$D$8, DefaultJPL))),IF($C$5="",IF(ISNUMBER($D$8),$D$8,DefaultJPL),IF(ISERROR(MATCH($C$5,Jigs!$D6:$D105,0)),DefaultJPL,IF(AND(ISNUMBER(INDEX(Jigs!$H6:$H105,MATCH($C$5,Jigs!$D$6:$D$105,0))),INDEX(Jigs!$H6:$H105,MATCH($C$5,Jigs!$D$6:$D$105,0))&lt;&gt;0),INDEX(Jigs!$H6:$H105,MATCH($C$5,Jigs!$D$6:$D$105,0))+$D$8,$D$8))))</f>
        <v>138</v>
      </c>
      <c r="D8" s="130">
        <v>138</v>
      </c>
      <c r="E8" s="16"/>
    </row>
    <row r="9" spans="2:5" x14ac:dyDescent="0.25">
      <c r="B9" s="102" t="s">
        <v>56</v>
      </c>
      <c r="C9" s="101">
        <f>IF($D$9=0,IF(C5="",DefaultKJD,IF(ISERROR(MATCH($C$5,Jigs!$D6:$D105,0)),DefaultKJD,IF(AND(ISNUMBER(INDEX(Jigs!$F6:$F105,MATCH($C$5,Jigs!$D$6:$D$105,0))),INDEX(Jigs!$F6:$F105,MATCH($C$5,Jigs!$D$6:$D$105,0))&gt;0),INDEX(Jigs!$F6:$F105,MATCH($C$5,Jigs!$D$6:$D$105,0)),DefaultKJD))),$D$9)</f>
        <v>12</v>
      </c>
      <c r="D9" s="1"/>
      <c r="E9" s="16"/>
    </row>
    <row r="10" spans="2:5" x14ac:dyDescent="0.25">
      <c r="B10" s="15"/>
      <c r="C10" s="12"/>
      <c r="D10" s="51"/>
      <c r="E10" s="16"/>
    </row>
    <row r="11" spans="2:5" x14ac:dyDescent="0.25">
      <c r="B11" s="52" t="s">
        <v>69</v>
      </c>
      <c r="C11" s="12">
        <f>IF(OR($D$11&lt;=$C$19,ISTEXT($D$11)),,$D$11)</f>
        <v>85.11</v>
      </c>
      <c r="D11" s="1">
        <v>85.11</v>
      </c>
      <c r="E11" s="16"/>
    </row>
    <row r="12" spans="2:5" x14ac:dyDescent="0.25">
      <c r="B12" s="53" t="s">
        <v>58</v>
      </c>
      <c r="C12" s="12"/>
      <c r="D12" s="51"/>
      <c r="E12" s="16"/>
    </row>
    <row r="13" spans="2:5" x14ac:dyDescent="0.25">
      <c r="B13" s="54" t="s">
        <v>73</v>
      </c>
      <c r="C13" s="12">
        <f>IF(OR($D$13&lt;Min_H_VUSB_105,$D$13&gt;Max_H_VUSB_430,ISTEXT($D$13)),,$D$13)</f>
        <v>0</v>
      </c>
      <c r="D13" s="3"/>
      <c r="E13" s="16"/>
    </row>
    <row r="14" spans="2:5" x14ac:dyDescent="0.25">
      <c r="B14" s="55" t="s">
        <v>74</v>
      </c>
      <c r="C14" s="12">
        <f>IF(OR($D$14&lt;Min_H_HFUSB_105,$D$14&gt;Max_H_HFUSB_430,ISTEXT($D$14)),,$D$14)</f>
        <v>0</v>
      </c>
      <c r="D14" s="3"/>
      <c r="E14" s="16"/>
    </row>
    <row r="15" spans="2:5" x14ac:dyDescent="0.25">
      <c r="B15" s="56" t="s">
        <v>75</v>
      </c>
      <c r="C15" s="12">
        <f>IF(OR($D$15&lt;Min_H_HFUSB_105,$D$15&gt;Max_H_HFUSB_430,ISTEXT($D$15)),,$D$15)</f>
        <v>0</v>
      </c>
      <c r="D15" s="3"/>
      <c r="E15" s="16"/>
    </row>
    <row r="16" spans="2:5" x14ac:dyDescent="0.25">
      <c r="B16" s="57" t="s">
        <v>61</v>
      </c>
      <c r="C16" s="12">
        <f>IF(OR($D$16&lt;Min_FVB_Distance,ISTEXT($D$16)),DefaultFVBDistance,$D$16)</f>
        <v>24.5</v>
      </c>
      <c r="D16" s="3"/>
      <c r="E16" s="16"/>
    </row>
    <row r="17" spans="2:5" x14ac:dyDescent="0.25">
      <c r="B17" s="10"/>
      <c r="C17" s="136"/>
      <c r="D17" s="137"/>
      <c r="E17" s="16"/>
    </row>
    <row r="18" spans="2:5" x14ac:dyDescent="0.25">
      <c r="B18" s="156" t="s">
        <v>197</v>
      </c>
      <c r="C18" s="272" t="s">
        <v>187</v>
      </c>
      <c r="D18" s="273"/>
      <c r="E18" s="13"/>
    </row>
    <row r="19" spans="2:5" x14ac:dyDescent="0.25">
      <c r="B19" s="24" t="s">
        <v>0</v>
      </c>
      <c r="C19" s="138">
        <f>IF(OR($D$19&lt;=0,ISTEXT($D$19)),IF($C$18="",DefaultUSBDia,IF(ISNUMBER(VLOOKUP(MachinesUSBDia,Machines[],MATCH($C$18,Machines[#Headers],0),FALSE)),VLOOKUP(MachinesUSBDia,Machines[],MATCH($C$18,Machines[#Headers],0),FALSE),NotAvailable)),$D$19)</f>
        <v>12</v>
      </c>
      <c r="D19" s="139"/>
      <c r="E19" s="13"/>
    </row>
    <row r="20" spans="2:5" s="60" customFormat="1" ht="15" customHeight="1" x14ac:dyDescent="0.25">
      <c r="B20" s="58" t="s">
        <v>62</v>
      </c>
      <c r="C20" s="12">
        <f>IF(OR($D$20&lt;=0,ISTEXT($D$20)),IF($C$18="",DefaultConstantHV,IF(ISNUMBER(VLOOKUP(MachinesConstantHV,Machines[],MATCH($C$18,Machines[#Headers],0),FALSE)),VLOOKUP(MachinesConstantHV,Machines[],MATCH($C$18,Machines[#Headers],0),FALSE),NotAvailable)),$D$20)</f>
        <v>50</v>
      </c>
      <c r="D20" s="2"/>
      <c r="E20" s="59"/>
    </row>
    <row r="21" spans="2:5" s="60" customFormat="1" ht="15" customHeight="1" x14ac:dyDescent="0.25">
      <c r="B21" s="58" t="s">
        <v>63</v>
      </c>
      <c r="C21" s="12">
        <f>IF(OR($D$21&lt;=0,ISTEXT($D$21)),IF($C$18="",DefaultConstantVV,IF(ISNUMBER(VLOOKUP(MachinesConstantVV,Machines[],MATCH($C$18,Machines[#Headers],0),FALSE)),VLOOKUP(MachinesConstantVV,Machines[],MATCH($C$18,Machines[#Headers],0),FALSE),NotAvailable)),$D$21)</f>
        <v>29</v>
      </c>
      <c r="D21" s="2"/>
      <c r="E21" s="59"/>
    </row>
    <row r="22" spans="2:5" s="60" customFormat="1" ht="15" customHeight="1" x14ac:dyDescent="0.25">
      <c r="B22" s="58" t="s">
        <v>64</v>
      </c>
      <c r="C22" s="12">
        <f>IF(OR($D$22&lt;=0,ISTEXT($D$22)),IF($C$18="",DefaultConstantHH,IF(ISNUMBER(VLOOKUP(MachinesConstantHH,Machines[],MATCH($C$18,Machines[#Headers],0),FALSE)),VLOOKUP(MachinesConstantHH,Machines[],MATCH($C$18,Machines[#Headers],0),FALSE),NotAvailable)),$D$22)</f>
        <v>41</v>
      </c>
      <c r="D22" s="2"/>
      <c r="E22" s="59"/>
    </row>
    <row r="23" spans="2:5" s="60" customFormat="1" ht="15" customHeight="1" x14ac:dyDescent="0.25">
      <c r="B23" s="58" t="s">
        <v>68</v>
      </c>
      <c r="C23" s="12">
        <f>IF(OR($D$23&lt;=0,ISTEXT($D$23)),IF($C$18="",DefaultConstantVH,IF(ISNUMBER(VLOOKUP(MachinesConstantVH,Machines[],MATCH($C$18,Machines[#Headers],0),FALSE)),VLOOKUP(MachinesConstantVH,Machines[],MATCH($C$18,Machines[#Headers],0),FALSE),NotAvailable)),$D$23)</f>
        <v>81</v>
      </c>
      <c r="D23" s="2"/>
      <c r="E23" s="59"/>
    </row>
    <row r="24" spans="2:5" s="60" customFormat="1" ht="15" customHeight="1" x14ac:dyDescent="0.25">
      <c r="B24" s="58" t="s">
        <v>66</v>
      </c>
      <c r="C24" s="12">
        <f>IF(OR($D$24&lt;=0,ISTEXT($D$24)),IF($C$18="",DefaultConstantVH+DefaultConstantFVBBody+$C$16,IF(AND(ISNUMBER(VLOOKUP(MachinesConstantHF,Machines[],MATCH($C$18,Machines[#Headers],0),FALSE)),ISNUMBER(VLOOKUP(MachinesConstantFVBBody,Machines[],MATCH($C$18,Machines[#Headers],0),FALSE))),VLOOKUP(MachinesConstantHF,Machines[],MATCH($C$18,Machines[#Headers],0),FALSE),NotAvailable)),$D$24+$C$16)</f>
        <v>142.69999999999999</v>
      </c>
      <c r="D24" s="2"/>
      <c r="E24" s="59"/>
    </row>
    <row r="25" spans="2:5" s="60" customFormat="1" ht="15" customHeight="1" x14ac:dyDescent="0.25">
      <c r="B25" s="58" t="s">
        <v>67</v>
      </c>
      <c r="C25" s="12">
        <f>IF(OR($D$25&lt;=0,ISTEXT($D$25)),IF($C$18="",DefaultConstantVF,IF(ISNUMBER(VLOOKUP(MachinesConstantVF,Machines[],MATCH($C$18,Machines[#Headers],0),FALSE)),VLOOKUP(MachinesConstantVF,Machines[],MATCH($C$18,Machines[#Headers],0),FALSE),NotAvailable)),$D$25)</f>
        <v>56</v>
      </c>
      <c r="D25" s="2"/>
      <c r="E25" s="59"/>
    </row>
    <row r="26" spans="2:5" hidden="1" x14ac:dyDescent="0.25">
      <c r="B26" s="24"/>
      <c r="C26" s="12"/>
      <c r="D26" s="22"/>
      <c r="E26" s="13"/>
    </row>
    <row r="27" spans="2:5" hidden="1" x14ac:dyDescent="0.25">
      <c r="B27" s="24"/>
      <c r="C27" s="12"/>
      <c r="D27" s="61"/>
      <c r="E27" s="13"/>
    </row>
    <row r="28" spans="2:5" hidden="1" x14ac:dyDescent="0.25">
      <c r="B28" s="8" t="s">
        <v>1</v>
      </c>
      <c r="C28" s="62">
        <f>C7/2</f>
        <v>125</v>
      </c>
      <c r="D28" s="63"/>
      <c r="E28" s="13"/>
    </row>
    <row r="29" spans="2:5" hidden="1" x14ac:dyDescent="0.25">
      <c r="B29" s="8" t="s">
        <v>55</v>
      </c>
      <c r="C29" s="37">
        <f>$C$8-($C$19/2)</f>
        <v>132</v>
      </c>
      <c r="D29" s="63"/>
      <c r="E29" s="13"/>
    </row>
    <row r="30" spans="2:5" hidden="1" x14ac:dyDescent="0.25">
      <c r="B30" s="8" t="s">
        <v>4</v>
      </c>
      <c r="C30" s="37">
        <f>$C$9/2+$C$19/2</f>
        <v>12</v>
      </c>
      <c r="D30" s="63"/>
      <c r="E30" s="13"/>
    </row>
    <row r="31" spans="2:5" hidden="1" x14ac:dyDescent="0.25">
      <c r="B31" s="8" t="s">
        <v>2</v>
      </c>
      <c r="C31" s="37">
        <f>SQRT($C$30^2+$C$29^2)</f>
        <v>132.54433220624713</v>
      </c>
      <c r="D31" s="63"/>
      <c r="E31" s="13"/>
    </row>
    <row r="32" spans="2:5" hidden="1" x14ac:dyDescent="0.25">
      <c r="B32" s="8" t="s">
        <v>3</v>
      </c>
      <c r="C32" s="37">
        <f>DEGREES(ATAN($C$30/$C$29))</f>
        <v>5.1944289077348058</v>
      </c>
      <c r="D32" s="63"/>
      <c r="E32" s="13"/>
    </row>
    <row r="33" spans="2:5" hidden="1" x14ac:dyDescent="0.25">
      <c r="B33" s="64" t="s">
        <v>17</v>
      </c>
      <c r="C33" s="37">
        <f>IF($C$13&lt;=0,,SQRT((($C$13-$C$19/2)+$C$21)^2+$C$20^2)-$C$28+$C$19/2)</f>
        <v>0</v>
      </c>
      <c r="D33" s="63"/>
      <c r="E33" s="13"/>
    </row>
    <row r="34" spans="2:5" hidden="1" x14ac:dyDescent="0.25">
      <c r="B34" s="64" t="s">
        <v>18</v>
      </c>
      <c r="C34" s="37">
        <f>IF($C$11&lt;=0,,SQRT(($C$28+($C$11-$C$19/2))^2-$C$20^2)-$C$21+($C$19/2))</f>
        <v>174.89111172561542</v>
      </c>
      <c r="D34" s="63"/>
      <c r="E34" s="13"/>
    </row>
    <row r="35" spans="2:5" hidden="1" x14ac:dyDescent="0.25">
      <c r="B35" s="64" t="s">
        <v>19</v>
      </c>
      <c r="C35" s="37">
        <f>IF($C$14&lt;=0,,SQRT((($C$14-$C$19/2)+$C$23)^2+$C$22^2)-$C$28+$C$19/2)</f>
        <v>0</v>
      </c>
      <c r="D35" s="63"/>
      <c r="E35" s="65"/>
    </row>
    <row r="36" spans="2:5" hidden="1" x14ac:dyDescent="0.25">
      <c r="B36" s="64" t="s">
        <v>20</v>
      </c>
      <c r="C36" s="37">
        <f>IF($C$11&lt;=0,,SQRT(($C$28+($C$11-$C$19/2))^2-$C$22^2)-$C$23+($C$19/2))</f>
        <v>124.94972393079217</v>
      </c>
      <c r="D36" s="63"/>
      <c r="E36" s="65"/>
    </row>
    <row r="37" spans="2:5" hidden="1" x14ac:dyDescent="0.25">
      <c r="B37" s="64" t="s">
        <v>21</v>
      </c>
      <c r="C37" s="37">
        <f>IF($C$15&lt;=0,,SQRT((($C$15-$C$19/2)+$C$25)^2+$C$24^2)-$C$28+$C$19/2)</f>
        <v>0</v>
      </c>
      <c r="D37" s="63"/>
      <c r="E37" s="65"/>
    </row>
    <row r="38" spans="2:5" hidden="1" x14ac:dyDescent="0.25">
      <c r="B38" s="64" t="s">
        <v>22</v>
      </c>
      <c r="C38" s="37">
        <f>IF(OR($C$11&lt;=$C$19,ISERROR(SQRT(($C$28+($C$11-$C$19/2))^2-$C$24^2))),,SQRT(($C$28+($C$11-$C$19/2))^2-$C$24^2)-$C$25+($C$19/2))</f>
        <v>95.936979892006832</v>
      </c>
      <c r="D38" s="63"/>
      <c r="E38" s="65"/>
    </row>
    <row r="39" spans="2:5" hidden="1" x14ac:dyDescent="0.25">
      <c r="B39" s="64"/>
      <c r="C39" s="67"/>
      <c r="D39" s="63"/>
      <c r="E39" s="65"/>
    </row>
    <row r="40" spans="2:5" x14ac:dyDescent="0.25">
      <c r="B40" s="40"/>
      <c r="C40" s="62"/>
      <c r="D40" s="68"/>
      <c r="E40" s="65"/>
    </row>
    <row r="41" spans="2:5" x14ac:dyDescent="0.25">
      <c r="B41" s="69" t="s">
        <v>23</v>
      </c>
      <c r="C41" s="70">
        <f>IF(OR($C$20=NotAvailable,$C$21=NotAvailable),"-",IF(OR(AND($C$11&lt;=$C$19,$C$13=0),AND($C$11&lt;$C$19,$C$33&lt;=$C$19),ISERROR(ASIN((((IF($C$13=0,$C$11,$C$33)-$C$19/2)+$C$28)^2-$C$31^2-$C$28^2)/(2*$C$31*$C$28)))),"-",DEGREES(ATAN($C$30/$C$29)+ASIN((((IF($C$13=0,$C$11,$C$33)-$C$19/2)+$C$28)^2-$C$31^2-$C$28^2)/(2*$C$31*$C$28)))))</f>
        <v>20.00054590484886</v>
      </c>
      <c r="D41" s="71"/>
      <c r="E41" s="66"/>
    </row>
    <row r="42" spans="2:5" x14ac:dyDescent="0.25">
      <c r="B42" s="72" t="s">
        <v>24</v>
      </c>
      <c r="C42" s="73">
        <f>IF(OR($C$22=NotAvailable,$C$23=NotAvailable),"-",IF(OR(AND($C$11&lt;=$C$19,$C$14=0),AND($C$11&lt;$C$19,$C$35&lt;=$C$19),ISERROR(ASIN((((IF($C$14=0,$C$11,$C$35)-$C$19/2)+$C$28)^2-$C$31^2-$C$28^2)/(2*$C$31*$C$28)))),"-",DEGREES(ATAN($C$30/$C$29)+ASIN((((IF($C$14=0,$C$11,$C$35)-$C$19/2)+$C$28)^2-$C$31^2-$C$28^2)/(2*$C$31*$C$28)))))</f>
        <v>20.00054590484886</v>
      </c>
      <c r="D42" s="71"/>
      <c r="E42" s="66"/>
    </row>
    <row r="43" spans="2:5" x14ac:dyDescent="0.25">
      <c r="B43" s="74" t="s">
        <v>25</v>
      </c>
      <c r="C43" s="75">
        <f>IF(OR($C$24=NotAvailable,$C$25=NotAvailable),"-",IF(OR(AND($C$11&lt;=$C$19,$C$15=0),AND($C$11&lt;$C$19,$C$37&lt;=$C$19),ISERROR(ASIN((((IF($C$15=0,$C$11,$C$37)-$C$19/2)+$C$28)^2-$C$31^2-$C$28^2)/(2*$C$31*$C$28)))),"-",DEGREES(ATAN($C$30/$C$29)+ASIN((((IF($C$15=0,$C$11,$C$37)-$C$19/2)+$C$28)^2-$C$31^2-$C$28^2)/(2*$C$31*$C$28)))))</f>
        <v>20.00054590484886</v>
      </c>
      <c r="D43" s="71"/>
    </row>
    <row r="44" spans="2:5" x14ac:dyDescent="0.25">
      <c r="D44" s="76"/>
    </row>
  </sheetData>
  <sheetProtection sheet="1" objects="1" scenarios="1" formatCells="0" formatColumns="0" formatRows="0"/>
  <mergeCells count="5">
    <mergeCell ref="C3:D3"/>
    <mergeCell ref="C18:D18"/>
    <mergeCell ref="B2:D2"/>
    <mergeCell ref="C6:D6"/>
    <mergeCell ref="C5:D5"/>
  </mergeCells>
  <conditionalFormatting sqref="C18:D18">
    <cfRule type="cellIs" dxfId="42" priority="3" operator="notEqual">
      <formula>""</formula>
    </cfRule>
  </conditionalFormatting>
  <conditionalFormatting sqref="C5:D5">
    <cfRule type="cellIs" dxfId="41" priority="1" operator="notEqual">
      <formula>""</formula>
    </cfRule>
    <cfRule type="cellIs" dxfId="40" priority="2" operator="equal">
      <formula>""</formula>
    </cfRule>
  </conditionalFormatting>
  <dataValidations count="4">
    <dataValidation type="list" allowBlank="1" sqref="D7">
      <formula1>WheelDList</formula1>
    </dataValidation>
    <dataValidation type="list" allowBlank="1" sqref="D16">
      <mc:AlternateContent xmlns:x12ac="http://schemas.microsoft.com/office/spreadsheetml/2011/1/ac" xmlns:mc="http://schemas.openxmlformats.org/markup-compatibility/2006">
        <mc:Choice Requires="x12ac">
          <x12ac:list>"23,9",50,75</x12ac:list>
        </mc:Choice>
        <mc:Fallback>
          <formula1>"23,9,50,75"</formula1>
        </mc:Fallback>
      </mc:AlternateContent>
    </dataValidation>
    <dataValidation type="list" allowBlank="1" showInputMessage="1" showErrorMessage="1" sqref="C18:D18">
      <formula1>IF(COUNTIFS(OFFSET(INDIRECT("Machines[[#Záhlaví];[Setting description]]"),2,1),"&lt;&gt;")=0,SetMachines,MachinesDList)</formula1>
    </dataValidation>
    <dataValidation type="list" allowBlank="1" showInputMessage="1" showErrorMessage="1" sqref="C5:D5">
      <formula1>JigsAll</formula1>
    </dataValidation>
  </dataValidations>
  <pageMargins left="0.70866141732283472" right="0.70866141732283472" top="0.78740157480314965" bottom="0.78740157480314965" header="0.31496062992125984" footer="0.31496062992125984"/>
  <pageSetup paperSize="9" scale="80" orientation="portrait" horizontalDpi="0"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ist5">
    <tabColor theme="8" tint="0.59999389629810485"/>
  </sheetPr>
  <dimension ref="B2:E30"/>
  <sheetViews>
    <sheetView zoomScaleNormal="100" workbookViewId="0">
      <selection activeCell="D9" sqref="D9"/>
    </sheetView>
  </sheetViews>
  <sheetFormatPr defaultRowHeight="15" x14ac:dyDescent="0.25"/>
  <cols>
    <col min="1" max="1" width="3.28515625" style="5" customWidth="1"/>
    <col min="2" max="2" width="55.7109375" style="5" customWidth="1"/>
    <col min="3" max="4" width="14" style="5" customWidth="1"/>
    <col min="5" max="5" width="10.140625" style="5" customWidth="1"/>
    <col min="6" max="16384" width="9.140625" style="5"/>
  </cols>
  <sheetData>
    <row r="2" spans="2:5" ht="15.75" x14ac:dyDescent="0.25">
      <c r="B2" s="274" t="s">
        <v>206</v>
      </c>
      <c r="C2" s="236"/>
      <c r="D2" s="237"/>
    </row>
    <row r="3" spans="2:5" x14ac:dyDescent="0.25">
      <c r="B3" s="8"/>
      <c r="C3" s="233"/>
      <c r="D3" s="234"/>
    </row>
    <row r="4" spans="2:5" x14ac:dyDescent="0.25">
      <c r="B4" s="92" t="s">
        <v>178</v>
      </c>
      <c r="C4" s="244" t="s">
        <v>106</v>
      </c>
      <c r="D4" s="245"/>
      <c r="E4" s="5" t="str">
        <f>IF($C$4=""," &lt;-- Select database","")</f>
        <v/>
      </c>
    </row>
    <row r="5" spans="2:5" x14ac:dyDescent="0.25">
      <c r="B5" s="8"/>
      <c r="C5" s="246"/>
      <c r="D5" s="247"/>
    </row>
    <row r="6" spans="2:5" x14ac:dyDescent="0.25">
      <c r="B6" s="8"/>
      <c r="C6" s="128" t="s">
        <v>47</v>
      </c>
      <c r="D6" s="128" t="s">
        <v>48</v>
      </c>
    </row>
    <row r="7" spans="2:5" x14ac:dyDescent="0.25">
      <c r="B7" s="100" t="str">
        <f>IF($C$4=SheetName02,InCellName02,InCellName01)</f>
        <v>Knife</v>
      </c>
      <c r="C7" s="242" t="s">
        <v>306</v>
      </c>
      <c r="D7" s="243"/>
    </row>
    <row r="8" spans="2:5" x14ac:dyDescent="0.25">
      <c r="B8" s="157"/>
      <c r="C8" s="279"/>
      <c r="D8" s="280"/>
    </row>
    <row r="9" spans="2:5" x14ac:dyDescent="0.25">
      <c r="B9" s="100" t="s">
        <v>54</v>
      </c>
      <c r="C9" s="158">
        <f>IF($D$9&lt;=0,DefaultWheelDia,IF(ISTEXT($D$9),IF(ISNA(HLOOKUP($D$9,TormekCalc!$G$4:$S$12,9,0)),250,HLOOKUP($D$9,TormekCalc!$G$4:$S$12,9,0)),$D$9))</f>
        <v>250</v>
      </c>
      <c r="D9" s="212"/>
    </row>
    <row r="10" spans="2:5" x14ac:dyDescent="0.25">
      <c r="B10" s="159" t="str">
        <f ca="1">IF($D$10=0,IF($C$7&lt;&gt;"",IF(AND($C$7&lt;&gt;"",NOT(ISERROR(MATCH($C$7,INDIRECT($C$4&amp;"ListTable["&amp;INDIRECT("$C$4")&amp;"List]"),0)))),IF(ISNUMBER(INDEX(INDIRECT($C$4&amp;"[Grinded]"),MATCH($C$7,INDIRECT($C$4&amp;"ListTable["&amp;INDIRECT("$C$4")&amp;"List]"),0))),"Loaded Grinding angle Δ [°]","Grinding angle Δ [°]"),"Grinding angle Δ [°]"),"Grinding angle Δ [°]"),"Grinding angle Δ [°]")</f>
        <v>Loaded Grinding angle Δ [°]</v>
      </c>
      <c r="C10" s="158">
        <f ca="1">IF($D$10=0,IF(AND($C$7&lt;&gt;"",NOT(ISERROR(MATCH($C$7,INDIRECT($C$4&amp;"ListTable["&amp;INDIRECT("$C$4")&amp;"List]"),0)))),IF(ISNUMBER(INDEX(INDIRECT($C$4&amp;"[Grinded]"),MATCH($C$7,INDIRECT($C$4&amp;"ListTable["&amp;INDIRECT("$C$4")&amp;"List]"),0))),INDEX(INDIRECT($C$4&amp;"[Grinded]"),MATCH($C$7,INDIRECT($C$4&amp;"ListTable["&amp;INDIRECT("$C$4")&amp;"List]"),0)),DefaultGA),DefaultGA),$D$10)</f>
        <v>20</v>
      </c>
      <c r="D10" s="131"/>
    </row>
    <row r="11" spans="2:5" ht="15" customHeight="1" x14ac:dyDescent="0.25">
      <c r="B11" s="159" t="str">
        <f ca="1">IF($D$11=0,IF($C$7&lt;&gt;"",IF(AND($C$7&lt;&gt;"",NOT(ISERROR(MATCH($C$7,INDIRECT($C$4&amp;"ListTable["&amp;INDIRECT("$C$4")&amp;"List]"),0)))),IF(ISNUMBER(INDEX(INDIRECT($C$4&amp;"[Edge thickness]"),MATCH($C$7,INDIRECT($C$4&amp;"ListTable["&amp;INDIRECT("$C$4")&amp;"List]"),0))),"Loaded Edge thickness T (= thickness at edge heel) [mm]","Edge thickness T (= thickness at edge heel) [mm]"),"Edge thickness T (= thickness at edge heel) [mm]"),"Edge thickness T (= thickness at edge heel) [mm]"),"Edge thickness T (= thickness at edge heel) [mm]")</f>
        <v>Loaded Edge thickness T (= thickness at edge heel) [mm]</v>
      </c>
      <c r="C11" s="158">
        <f ca="1">IF($D$11=0,IF(AND($C$7&lt;&gt;"",NOT(ISERROR(MATCH($C$7,INDIRECT($C$4&amp;"ListTable["&amp;INDIRECT("$C$4")&amp;"List]"),0)))),IF(ISNUMBER(INDEX(INDIRECT($C$4&amp;"[Edge thickness]"),MATCH($C$7,INDIRECT($C$4&amp;"ListTable["&amp;INDIRECT("$C$4")&amp;"List]"),0))),INDEX(INDIRECT($C$4&amp;"[Edge thickness]"),MATCH($C$7,INDIRECT($C$4&amp;"ListTable["&amp;INDIRECT("$C$4")&amp;"List]"),0)),DefaultEdgeThickness),DefaultEdgeThickness),$D$11)</f>
        <v>0.8</v>
      </c>
      <c r="D11" s="99"/>
    </row>
    <row r="12" spans="2:5" x14ac:dyDescent="0.25">
      <c r="B12" s="160" t="str">
        <f ca="1">IF($C$7&lt;&gt;"",IF(AND($C$7&lt;&gt;"",NOT(ISERROR(MATCH($C$7,INDIRECT($C$4&amp;"ListTable["&amp;INDIRECT("$C$4")&amp;"List]"),0)))),IF(ISNUMBER(INDEX(INDIRECT($C$4&amp;"[Edge height]"),MATCH($C$7,INDIRECT($C$4&amp;"ListTable["&amp;INDIRECT("$C$4")&amp;"List]"),0))),IF($C$4=SheetName01,"Loaded knife Edge height [mm]",IF($C$4=SheetName02,"Loaded tool Edge height [mm]","")),""),""),"")</f>
        <v>Loaded knife Edge height [mm]</v>
      </c>
      <c r="C12" s="161">
        <f ca="1">IF($C$7&lt;&gt;"",IF(NOT(ISERROR(MATCH($C$7,INDIRECT($C$4&amp;"ListTable["&amp;INDIRECT("$C$4")&amp;"List]"),0))),IF(ISNUMBER(INDEX(INDIRECT($C$4&amp;"[Edge height]"),MATCH($C$7,INDIRECT($C$4&amp;"ListTable["&amp;INDIRECT("$C$4")&amp;"List]"),0))),INDEX(INDIRECT($C$4&amp;"[Edge height]"),MATCH($C$7,INDIRECT($C$4&amp;"ListTable["&amp;INDIRECT("$C$4")&amp;"List]"),0)),""),""),"")</f>
        <v>1</v>
      </c>
      <c r="D12" s="164"/>
    </row>
    <row r="13" spans="2:5" x14ac:dyDescent="0.25">
      <c r="B13" s="163"/>
      <c r="C13" s="161"/>
      <c r="D13" s="167"/>
    </row>
    <row r="14" spans="2:5" hidden="1" x14ac:dyDescent="0.25">
      <c r="B14" s="165" t="s">
        <v>96</v>
      </c>
      <c r="C14" s="166">
        <f>$C$9/2</f>
        <v>125</v>
      </c>
      <c r="D14" s="167"/>
    </row>
    <row r="15" spans="2:5" hidden="1" x14ac:dyDescent="0.25">
      <c r="B15" s="163"/>
      <c r="C15" s="161"/>
      <c r="D15" s="167"/>
    </row>
    <row r="16" spans="2:5" x14ac:dyDescent="0.25">
      <c r="B16" s="168" t="s">
        <v>180</v>
      </c>
      <c r="C16" s="169">
        <f ca="1">($C$11/2)/(TAN(RADIANS($C$10)))</f>
        <v>1.098990967781849</v>
      </c>
      <c r="D16" s="167"/>
    </row>
    <row r="17" spans="2:4" x14ac:dyDescent="0.25">
      <c r="B17" s="168" t="s">
        <v>181</v>
      </c>
      <c r="C17" s="169">
        <f ca="1">SQRT((($C$11/2)/(TAN(RADIANS($C$10))))^2+($C$11/2)^2)</f>
        <v>1.169521760065235</v>
      </c>
      <c r="D17" s="167"/>
    </row>
    <row r="18" spans="2:4" x14ac:dyDescent="0.25">
      <c r="B18" s="162"/>
      <c r="C18" s="170"/>
      <c r="D18" s="167"/>
    </row>
    <row r="19" spans="2:4" x14ac:dyDescent="0.25">
      <c r="B19" s="171" t="s">
        <v>182</v>
      </c>
      <c r="C19" s="172">
        <f ca="1">($C$30-$C$27)/2</f>
        <v>1.0833925939588696</v>
      </c>
      <c r="D19" s="167"/>
    </row>
    <row r="20" spans="2:4" x14ac:dyDescent="0.25">
      <c r="B20" s="171" t="s">
        <v>183</v>
      </c>
      <c r="C20" s="173">
        <f ca="1">SQRT($C$19^2+($C$11/2)^2)</f>
        <v>1.1548764057876184</v>
      </c>
      <c r="D20" s="167"/>
    </row>
    <row r="21" spans="2:4" x14ac:dyDescent="0.25">
      <c r="B21" s="162" t="s">
        <v>97</v>
      </c>
      <c r="C21" s="174">
        <f ca="1">2*$C$14*ASIN($C$20/(2*$C$14))</f>
        <v>1.1548805133051816</v>
      </c>
      <c r="D21" s="167"/>
    </row>
    <row r="22" spans="2:4" x14ac:dyDescent="0.25">
      <c r="B22" s="171" t="s">
        <v>98</v>
      </c>
      <c r="C22" s="175">
        <f ca="1">DEGREES(ASIN(($C$11/2)/$C$20))</f>
        <v>20.264679117017309</v>
      </c>
      <c r="D22" s="167"/>
    </row>
    <row r="23" spans="2:4" x14ac:dyDescent="0.25">
      <c r="B23" s="162" t="s">
        <v>99</v>
      </c>
      <c r="C23" s="176">
        <f ca="1">DEGREES(2*ASIN($C$20/(2*$C$14)))</f>
        <v>0.52935823403431215</v>
      </c>
      <c r="D23" s="167"/>
    </row>
    <row r="24" spans="2:4" x14ac:dyDescent="0.25">
      <c r="B24" s="177" t="s">
        <v>100</v>
      </c>
      <c r="C24" s="178">
        <f ca="1">$C$10+$C$23</f>
        <v>20.529358234034312</v>
      </c>
      <c r="D24" s="167"/>
    </row>
    <row r="25" spans="2:4" x14ac:dyDescent="0.25">
      <c r="B25" s="162"/>
      <c r="C25" s="170"/>
      <c r="D25" s="167"/>
    </row>
    <row r="26" spans="2:4" hidden="1" x14ac:dyDescent="0.25">
      <c r="B26" s="162"/>
      <c r="C26" s="170"/>
      <c r="D26" s="167"/>
    </row>
    <row r="27" spans="2:4" hidden="1" x14ac:dyDescent="0.25">
      <c r="B27" s="179" t="s">
        <v>101</v>
      </c>
      <c r="C27" s="166">
        <f ca="1">SQRT($C$14^2+$C$14^2-2*$C$14*$C$14*COS(RADIANS(180-2*(90-$C$10))))</f>
        <v>85.505035831417175</v>
      </c>
      <c r="D27" s="167"/>
    </row>
    <row r="28" spans="2:4" hidden="1" x14ac:dyDescent="0.25">
      <c r="B28" s="180" t="s">
        <v>102</v>
      </c>
      <c r="C28" s="166">
        <f ca="1">$C$14*(1-COS(RADIANS((180-2*(90-$C$10))/2)))</f>
        <v>7.5384224017614461</v>
      </c>
      <c r="D28" s="167"/>
    </row>
    <row r="29" spans="2:4" hidden="1" x14ac:dyDescent="0.25">
      <c r="B29" s="180" t="s">
        <v>103</v>
      </c>
      <c r="C29" s="166">
        <f ca="1">$C$14*(1-COS(RADIANS((180-2*(90-$C$10))/2)))+$C$11/2</f>
        <v>7.9384224017614464</v>
      </c>
      <c r="D29" s="167"/>
    </row>
    <row r="30" spans="2:4" hidden="1" x14ac:dyDescent="0.25">
      <c r="B30" s="180" t="s">
        <v>104</v>
      </c>
      <c r="C30" s="166">
        <f ca="1">2*SQRT($C$29*(2*$C$14-$C$29))</f>
        <v>87.671821019334914</v>
      </c>
      <c r="D30" s="167"/>
    </row>
  </sheetData>
  <sheetProtection sheet="1" objects="1" scenarios="1" formatCells="0" formatColumns="0" formatRows="0"/>
  <mergeCells count="6">
    <mergeCell ref="C4:D4"/>
    <mergeCell ref="C5:D5"/>
    <mergeCell ref="C7:D7"/>
    <mergeCell ref="C8:D8"/>
    <mergeCell ref="B2:D2"/>
    <mergeCell ref="C3:D3"/>
  </mergeCells>
  <conditionalFormatting sqref="C4:D4">
    <cfRule type="expression" dxfId="39" priority="7">
      <formula>$C$4=SheetName02</formula>
    </cfRule>
    <cfRule type="expression" dxfId="38" priority="8">
      <formula>$C$4=SheetName01</formula>
    </cfRule>
  </conditionalFormatting>
  <conditionalFormatting sqref="C7:D7">
    <cfRule type="expression" dxfId="37" priority="5">
      <formula>$C$4=SheetName01</formula>
    </cfRule>
    <cfRule type="expression" dxfId="36" priority="6">
      <formula>$C$4=SheetName02</formula>
    </cfRule>
  </conditionalFormatting>
  <conditionalFormatting sqref="C4:D4">
    <cfRule type="expression" dxfId="35" priority="4">
      <formula>$C$4=""</formula>
    </cfRule>
  </conditionalFormatting>
  <conditionalFormatting sqref="B4">
    <cfRule type="expression" dxfId="34" priority="2">
      <formula>$C$4=SheetName02</formula>
    </cfRule>
    <cfRule type="expression" dxfId="33" priority="3">
      <formula>$C$4=SheetName01</formula>
    </cfRule>
  </conditionalFormatting>
  <dataValidations count="3">
    <dataValidation type="list" allowBlank="1" sqref="D9">
      <formula1>WheelDList</formula1>
    </dataValidation>
    <dataValidation type="list" allowBlank="1" showErrorMessage="1" sqref="C7:D7">
      <formula1>IF(OR($C$4="Knives",C4=""),KnivesDList,ToolsDList)</formula1>
    </dataValidation>
    <dataValidation type="list" allowBlank="1" showErrorMessage="1" sqref="C4:D4">
      <formula1>INDIRECT("SheetNames[SheetName]")</formula1>
    </dataValidation>
  </dataValidations>
  <pageMargins left="0.70866141732283472" right="0.70866141732283472" top="0.78740157480314965" bottom="0.78740157480314965" header="0.31496062992125984" footer="0.31496062992125984"/>
  <pageSetup paperSize="9" scale="80" pageOrder="overThenDown" orientation="portrait" horizontalDpi="0"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ist6">
    <tabColor theme="5" tint="0.59999389629810485"/>
    <pageSetUpPr fitToPage="1"/>
  </sheetPr>
  <dimension ref="B1:X150"/>
  <sheetViews>
    <sheetView zoomScaleNormal="100" workbookViewId="0">
      <pane ySplit="5" topLeftCell="A6" activePane="bottomLeft" state="frozen"/>
      <selection pane="bottomLeft" activeCell="B2" sqref="B2:J2"/>
    </sheetView>
  </sheetViews>
  <sheetFormatPr defaultRowHeight="15" x14ac:dyDescent="0.25"/>
  <cols>
    <col min="1" max="1" width="3.28515625" style="5" customWidth="1"/>
    <col min="2" max="2" width="5" style="5" customWidth="1"/>
    <col min="3" max="3" width="21.85546875" style="181" customWidth="1"/>
    <col min="4" max="4" width="17.85546875" style="5" customWidth="1"/>
    <col min="5" max="5" width="13.7109375" style="5" customWidth="1"/>
    <col min="6" max="6" width="15" style="145" customWidth="1"/>
    <col min="7" max="7" width="5.7109375" style="5" hidden="1" customWidth="1"/>
    <col min="8" max="8" width="17.5703125" style="145" customWidth="1"/>
    <col min="9" max="9" width="5.7109375" style="5" hidden="1" customWidth="1"/>
    <col min="10" max="10" width="67.7109375" style="5" customWidth="1"/>
    <col min="11" max="11" width="9.140625" style="5"/>
    <col min="14" max="18" width="9.140625" customWidth="1"/>
    <col min="19" max="23" width="17.7109375" style="5" hidden="1" customWidth="1"/>
    <col min="24" max="24" width="9.140625" style="5" customWidth="1"/>
    <col min="25" max="16384" width="9.140625" style="5"/>
  </cols>
  <sheetData>
    <row r="1" spans="2:24" x14ac:dyDescent="0.25">
      <c r="S1"/>
      <c r="T1"/>
      <c r="U1"/>
      <c r="V1"/>
      <c r="W1"/>
      <c r="X1"/>
    </row>
    <row r="2" spans="2:24" ht="15.75" x14ac:dyDescent="0.25">
      <c r="B2" s="274" t="s">
        <v>214</v>
      </c>
      <c r="C2" s="236"/>
      <c r="D2" s="236"/>
      <c r="E2" s="236"/>
      <c r="F2" s="236"/>
      <c r="G2" s="236"/>
      <c r="H2" s="236"/>
      <c r="I2" s="236"/>
      <c r="J2" s="237"/>
      <c r="S2"/>
      <c r="T2"/>
      <c r="U2"/>
      <c r="V2"/>
      <c r="W2"/>
      <c r="X2"/>
    </row>
    <row r="3" spans="2:24" x14ac:dyDescent="0.25">
      <c r="B3" s="283"/>
      <c r="C3" s="284"/>
      <c r="D3" s="284"/>
      <c r="E3" s="284"/>
      <c r="F3" s="284"/>
      <c r="G3" s="284"/>
      <c r="H3" s="284"/>
      <c r="I3" s="284"/>
      <c r="J3" s="285"/>
      <c r="S3"/>
      <c r="T3"/>
      <c r="U3"/>
      <c r="V3"/>
      <c r="W3"/>
      <c r="X3"/>
    </row>
    <row r="4" spans="2:24" ht="15" customHeight="1" x14ac:dyDescent="0.25">
      <c r="B4" s="290" t="s">
        <v>110</v>
      </c>
      <c r="C4" s="292" t="s">
        <v>242</v>
      </c>
      <c r="D4" s="292" t="s">
        <v>30</v>
      </c>
      <c r="E4" s="292" t="s">
        <v>113</v>
      </c>
      <c r="F4" s="281" t="s">
        <v>212</v>
      </c>
      <c r="G4" s="286"/>
      <c r="H4" s="281" t="s">
        <v>213</v>
      </c>
      <c r="I4" s="286"/>
      <c r="J4" s="288" t="s">
        <v>134</v>
      </c>
      <c r="S4" s="6"/>
    </row>
    <row r="5" spans="2:24" x14ac:dyDescent="0.25">
      <c r="B5" s="291"/>
      <c r="C5" s="293"/>
      <c r="D5" s="293"/>
      <c r="E5" s="293"/>
      <c r="F5" s="282"/>
      <c r="G5" s="287"/>
      <c r="H5" s="282"/>
      <c r="I5" s="287"/>
      <c r="J5" s="289"/>
      <c r="S5" s="7" t="s">
        <v>111</v>
      </c>
      <c r="T5" s="7" t="s">
        <v>112</v>
      </c>
      <c r="U5" s="7" t="s">
        <v>136</v>
      </c>
      <c r="V5" s="7" t="s">
        <v>137</v>
      </c>
      <c r="W5" s="7" t="s">
        <v>284</v>
      </c>
    </row>
    <row r="6" spans="2:24" x14ac:dyDescent="0.25">
      <c r="B6" s="183">
        <v>1</v>
      </c>
      <c r="C6" s="184" t="s">
        <v>243</v>
      </c>
      <c r="D6" s="185" t="s">
        <v>41</v>
      </c>
      <c r="E6" s="186" t="s">
        <v>106</v>
      </c>
      <c r="F6" s="187">
        <v>12</v>
      </c>
      <c r="G6" s="186"/>
      <c r="H6" s="187">
        <v>0</v>
      </c>
      <c r="I6" s="186"/>
      <c r="J6" s="231" t="s">
        <v>318</v>
      </c>
      <c r="S6" s="6" t="str">
        <f>IFERROR(INDEX($D$6:$D$150,_xlfn.AGGREGATE(15,6,(ROW($D$6:$D$150)-ROW($D$6)+1)/($E$6:$E$150="Knives"),ROWS(R$6:R6))),"")</f>
        <v>SVM-45</v>
      </c>
      <c r="T6" s="6" t="str">
        <f>IFERROR(INDEX($D$6:$D$150,_xlfn.AGGREGATE(15,6,(ROW($D$6:$D$150)-ROW($D$6)+1)/($E$6:$E$150="Tools"),ROWS(R$6:R6))),"")</f>
        <v>SE-77</v>
      </c>
      <c r="U6" s="6" t="str">
        <f>IFERROR(INDEX($D$6:$D$150,_xlfn.AGGREGATE(15,6,(ROW($D$6:$D$150)-ROW($D$6)+1)/($E$6:$E$150="Tools NC"),ROWS(R$6:R6))),"")</f>
        <v>SVS-50 open seat</v>
      </c>
      <c r="V6"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SE-77</v>
      </c>
      <c r="W6"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SVM-45</v>
      </c>
      <c r="X6" s="6"/>
    </row>
    <row r="7" spans="2:24" x14ac:dyDescent="0.25">
      <c r="B7" s="183"/>
      <c r="C7" s="188"/>
      <c r="D7" s="185"/>
      <c r="E7" s="186"/>
      <c r="F7" s="187"/>
      <c r="G7" s="186"/>
      <c r="H7" s="187"/>
      <c r="I7" s="186"/>
      <c r="J7" s="231" t="s">
        <v>255</v>
      </c>
      <c r="S7" s="6" t="str">
        <f>IFERROR(INDEX($D$6:$D$150,_xlfn.AGGREGATE(15,6,(ROW($D$6:$D$150)-ROW($D$6)+1)/($E$6:$E$150="Knives"),ROWS(R$6:R7))),"")</f>
        <v>SVM-45 E</v>
      </c>
      <c r="T7" s="6" t="str">
        <f>IFERROR(INDEX($D$6:$D$150,_xlfn.AGGREGATE(15,6,(ROW($D$6:$D$150)-ROW($D$6)+1)/($E$6:$E$150="Tools"),ROWS(R$6:R7))),"")</f>
        <v>SVS-50 closed seat</v>
      </c>
      <c r="U7" s="6" t="str">
        <f>IFERROR(INDEX($D$6:$D$150,_xlfn.AGGREGATE(15,6,(ROW($D$6:$D$150)-ROW($D$6)+1)/($E$6:$E$150="Tools NC"),ROWS(R$6:R7))),"")</f>
        <v>SVS-38</v>
      </c>
      <c r="V7"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SVS-50 closed seat</v>
      </c>
      <c r="W7"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SVM-45 E</v>
      </c>
      <c r="X7" s="6"/>
    </row>
    <row r="8" spans="2:24" x14ac:dyDescent="0.25">
      <c r="B8" s="183"/>
      <c r="C8" s="188"/>
      <c r="D8" s="185"/>
      <c r="E8" s="186"/>
      <c r="F8" s="187"/>
      <c r="G8" s="186"/>
      <c r="H8" s="187"/>
      <c r="I8" s="186"/>
      <c r="J8" s="231" t="s">
        <v>249</v>
      </c>
      <c r="S8" s="6" t="str">
        <f>IFERROR(INDEX($D$6:$D$150,_xlfn.AGGREGATE(15,6,(ROW($D$6:$D$150)-ROW($D$6)+1)/($E$6:$E$150="Knives"),ROWS(R$6:R8))),"")</f>
        <v>SVM-140</v>
      </c>
      <c r="T8" s="6" t="str">
        <f>IFERROR(INDEX($D$6:$D$150,_xlfn.AGGREGATE(15,6,(ROW($D$6:$D$150)-ROW($D$6)+1)/($E$6:$E$150="Tools"),ROWS(R$6:R8))),"")</f>
        <v/>
      </c>
      <c r="U8" s="6" t="str">
        <f>IFERROR(INDEX($D$6:$D$150,_xlfn.AGGREGATE(15,6,(ROW($D$6:$D$150)-ROW($D$6)+1)/($E$6:$E$150="Tools NC"),ROWS(R$6:R8))),"")</f>
        <v>SVD-186</v>
      </c>
      <c r="V8"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SVS-50 open seat</v>
      </c>
      <c r="W8"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SVM-140</v>
      </c>
      <c r="X8" s="6"/>
    </row>
    <row r="9" spans="2:24" x14ac:dyDescent="0.25">
      <c r="B9" s="183"/>
      <c r="C9" s="188"/>
      <c r="D9" s="185"/>
      <c r="E9" s="186"/>
      <c r="F9" s="187"/>
      <c r="G9" s="186"/>
      <c r="H9" s="187"/>
      <c r="I9" s="186"/>
      <c r="J9" s="231"/>
      <c r="S9" s="6" t="str">
        <f>IFERROR(INDEX($D$6:$D$150,_xlfn.AGGREGATE(15,6,(ROW($D$6:$D$150)-ROW($D$6)+1)/($E$6:$E$150="Knives"),ROWS(R$6:R9))),"")</f>
        <v>SVM-140 E</v>
      </c>
      <c r="T9" s="6" t="str">
        <f>IFERROR(INDEX($D$6:$D$150,_xlfn.AGGREGATE(15,6,(ROW($D$6:$D$150)-ROW($D$6)+1)/($E$6:$E$150="Tools"),ROWS(R$6:R9))),"")</f>
        <v/>
      </c>
      <c r="U9" s="6" t="str">
        <f>IFERROR(INDEX($D$6:$D$150,_xlfn.AGGREGATE(15,6,(ROW($D$6:$D$150)-ROW($D$6)+1)/($E$6:$E$150="Tools NC"),ROWS(R$6:R9))),"")</f>
        <v>SVD-110</v>
      </c>
      <c r="V9"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SVS-38</v>
      </c>
      <c r="W9"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SVM-140 E</v>
      </c>
      <c r="X9" s="6"/>
    </row>
    <row r="10" spans="2:24" x14ac:dyDescent="0.25">
      <c r="B10" s="183"/>
      <c r="C10" s="188"/>
      <c r="D10" s="185"/>
      <c r="E10" s="186"/>
      <c r="F10" s="187"/>
      <c r="G10" s="186"/>
      <c r="H10" s="187"/>
      <c r="I10" s="186"/>
      <c r="J10" s="231"/>
      <c r="S10" s="6" t="str">
        <f>IFERROR(INDEX($D$6:$D$150,_xlfn.AGGREGATE(15,6,(ROW($D$6:$D$150)-ROW($D$6)+1)/($E$6:$E$150="Knives"),ROWS(R$6:R10))),"")</f>
        <v>SVM-00</v>
      </c>
      <c r="T10" s="6" t="str">
        <f>IFERROR(INDEX($D$6:$D$150,_xlfn.AGGREGATE(15,6,(ROW($D$6:$D$150)-ROW($D$6)+1)/($E$6:$E$150="Tools"),ROWS(R$6:R10))),"")</f>
        <v/>
      </c>
      <c r="U10" s="6" t="str">
        <f>IFERROR(INDEX($D$6:$D$150,_xlfn.AGGREGATE(15,6,(ROW($D$6:$D$150)-ROW($D$6)+1)/($E$6:$E$150="Tools NC"),ROWS(R$6:R10))),"")</f>
        <v/>
      </c>
      <c r="V10"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SVD-186</v>
      </c>
      <c r="W10"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SVM-00</v>
      </c>
      <c r="X10" s="6"/>
    </row>
    <row r="11" spans="2:24" x14ac:dyDescent="0.25">
      <c r="B11" s="183"/>
      <c r="C11" s="188"/>
      <c r="D11" s="185"/>
      <c r="E11" s="186"/>
      <c r="F11" s="187"/>
      <c r="G11" s="186"/>
      <c r="H11" s="187"/>
      <c r="I11" s="186"/>
      <c r="J11" s="231"/>
      <c r="S11" s="6" t="str">
        <f>IFERROR(INDEX($D$6:$D$150,_xlfn.AGGREGATE(15,6,(ROW($D$6:$D$150)-ROW($D$6)+1)/($E$6:$E$150="Knives"),ROWS(R$6:R11))),"")</f>
        <v>SVM-00 E</v>
      </c>
      <c r="T11" s="6" t="str">
        <f>IFERROR(INDEX($D$6:$D$150,_xlfn.AGGREGATE(15,6,(ROW($D$6:$D$150)-ROW($D$6)+1)/($E$6:$E$150="Tools"),ROWS(R$6:R11))),"")</f>
        <v/>
      </c>
      <c r="U11" s="6" t="str">
        <f>IFERROR(INDEX($D$6:$D$150,_xlfn.AGGREGATE(15,6,(ROW($D$6:$D$150)-ROW($D$6)+1)/($E$6:$E$150="Tools NC"),ROWS(R$6:R11))),"")</f>
        <v/>
      </c>
      <c r="V11"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SVD-110</v>
      </c>
      <c r="W11"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SVM-00 E</v>
      </c>
      <c r="X11" s="6"/>
    </row>
    <row r="12" spans="2:24" x14ac:dyDescent="0.25">
      <c r="B12" s="183">
        <v>2</v>
      </c>
      <c r="C12" s="188" t="s">
        <v>243</v>
      </c>
      <c r="D12" s="185" t="s">
        <v>127</v>
      </c>
      <c r="E12" s="186" t="s">
        <v>106</v>
      </c>
      <c r="F12" s="187">
        <v>15.3</v>
      </c>
      <c r="G12" s="186"/>
      <c r="H12" s="187">
        <v>0</v>
      </c>
      <c r="I12" s="186"/>
      <c r="J12" s="231" t="s">
        <v>250</v>
      </c>
      <c r="S12" s="6" t="str">
        <f>IFERROR(INDEX($D$6:$D$150,_xlfn.AGGREGATE(15,6,(ROW($D$6:$D$150)-ROW($D$6)+1)/($E$6:$E$150="Knives"),ROWS(R$6:R12))),"")</f>
        <v/>
      </c>
      <c r="T12" s="6" t="str">
        <f>IFERROR(INDEX($D$6:$D$150,_xlfn.AGGREGATE(15,6,(ROW($D$6:$D$150)-ROW($D$6)+1)/($E$6:$E$150="Tools"),ROWS(R$6:R12))),"")</f>
        <v/>
      </c>
      <c r="U12" s="6" t="str">
        <f>IFERROR(INDEX($D$6:$D$150,_xlfn.AGGREGATE(15,6,(ROW($D$6:$D$150)-ROW($D$6)+1)/($E$6:$E$150="Tools NC"),ROWS(R$6:R12))),"")</f>
        <v/>
      </c>
      <c r="V12"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2"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SE-77</v>
      </c>
      <c r="X12" s="6"/>
    </row>
    <row r="13" spans="2:24" x14ac:dyDescent="0.25">
      <c r="B13" s="183"/>
      <c r="C13" s="188"/>
      <c r="D13" s="185"/>
      <c r="E13" s="186"/>
      <c r="F13" s="187"/>
      <c r="G13" s="186"/>
      <c r="H13" s="187"/>
      <c r="I13" s="186"/>
      <c r="J13" s="231" t="s">
        <v>218</v>
      </c>
      <c r="S13" s="6" t="str">
        <f>IFERROR(INDEX($D$6:$D$150,_xlfn.AGGREGATE(15,6,(ROW($D$6:$D$150)-ROW($D$6)+1)/($E$6:$E$150="Knives"),ROWS(R$6:R13))),"")</f>
        <v/>
      </c>
      <c r="T13" s="6" t="str">
        <f>IFERROR(INDEX($D$6:$D$150,_xlfn.AGGREGATE(15,6,(ROW($D$6:$D$150)-ROW($D$6)+1)/($E$6:$E$150="Tools"),ROWS(R$6:R13))),"")</f>
        <v/>
      </c>
      <c r="U13" s="6" t="str">
        <f>IFERROR(INDEX($D$6:$D$150,_xlfn.AGGREGATE(15,6,(ROW($D$6:$D$150)-ROW($D$6)+1)/($E$6:$E$150="Tools NC"),ROWS(R$6:R13))),"")</f>
        <v/>
      </c>
      <c r="V13"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3"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SVS-50 closed seat</v>
      </c>
      <c r="X13" s="6"/>
    </row>
    <row r="14" spans="2:24" x14ac:dyDescent="0.25">
      <c r="B14" s="183"/>
      <c r="C14" s="188"/>
      <c r="D14" s="185"/>
      <c r="E14" s="186"/>
      <c r="F14" s="187"/>
      <c r="G14" s="186"/>
      <c r="H14" s="187"/>
      <c r="I14" s="186"/>
      <c r="J14" s="231" t="s">
        <v>318</v>
      </c>
      <c r="S14" s="6" t="str">
        <f>IFERROR(INDEX($D$6:$D$150,_xlfn.AGGREGATE(15,6,(ROW($D$6:$D$150)-ROW($D$6)+1)/($E$6:$E$150="Knives"),ROWS(R$6:R14))),"")</f>
        <v/>
      </c>
      <c r="T14" s="6" t="str">
        <f>IFERROR(INDEX($D$6:$D$150,_xlfn.AGGREGATE(15,6,(ROW($D$6:$D$150)-ROW($D$6)+1)/($E$6:$E$150="Tools"),ROWS(R$6:R14))),"")</f>
        <v/>
      </c>
      <c r="U14" s="6" t="str">
        <f>IFERROR(INDEX($D$6:$D$150,_xlfn.AGGREGATE(15,6,(ROW($D$6:$D$150)-ROW($D$6)+1)/($E$6:$E$150="Tools NC"),ROWS(R$6:R14))),"")</f>
        <v/>
      </c>
      <c r="V14"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4"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14" s="6"/>
    </row>
    <row r="15" spans="2:24" x14ac:dyDescent="0.25">
      <c r="B15" s="183"/>
      <c r="C15" s="188"/>
      <c r="D15" s="185"/>
      <c r="E15" s="186"/>
      <c r="F15" s="187"/>
      <c r="G15" s="186"/>
      <c r="H15" s="187"/>
      <c r="I15" s="186"/>
      <c r="J15" s="231" t="s">
        <v>255</v>
      </c>
      <c r="S15" s="6" t="str">
        <f>IFERROR(INDEX($D$6:$D$150,_xlfn.AGGREGATE(15,6,(ROW($D$6:$D$150)-ROW($D$6)+1)/($E$6:$E$150="Knives"),ROWS(R$6:R15))),"")</f>
        <v/>
      </c>
      <c r="T15" s="6" t="str">
        <f>IFERROR(INDEX($D$6:$D$150,_xlfn.AGGREGATE(15,6,(ROW($D$6:$D$150)-ROW($D$6)+1)/($E$6:$E$150="Tools"),ROWS(R$6:R15))),"")</f>
        <v/>
      </c>
      <c r="U15" s="6" t="str">
        <f>IFERROR(INDEX($D$6:$D$150,_xlfn.AGGREGATE(15,6,(ROW($D$6:$D$150)-ROW($D$6)+1)/($E$6:$E$150="Tools NC"),ROWS(R$6:R15))),"")</f>
        <v/>
      </c>
      <c r="V15"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5"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15" s="6"/>
    </row>
    <row r="16" spans="2:24" x14ac:dyDescent="0.25">
      <c r="B16" s="183"/>
      <c r="C16" s="188"/>
      <c r="D16" s="185"/>
      <c r="E16" s="186"/>
      <c r="F16" s="187"/>
      <c r="G16" s="186"/>
      <c r="H16" s="187"/>
      <c r="I16" s="186"/>
      <c r="J16" s="231" t="s">
        <v>249</v>
      </c>
      <c r="S16" s="6" t="str">
        <f>IFERROR(INDEX($D$6:$D$150,_xlfn.AGGREGATE(15,6,(ROW($D$6:$D$150)-ROW($D$6)+1)/($E$6:$E$150="Knives"),ROWS(R$6:R16))),"")</f>
        <v/>
      </c>
      <c r="T16" s="6" t="str">
        <f>IFERROR(INDEX($D$6:$D$150,_xlfn.AGGREGATE(15,6,(ROW($D$6:$D$150)-ROW($D$6)+1)/($E$6:$E$150="Tools"),ROWS(R$6:R16))),"")</f>
        <v/>
      </c>
      <c r="U16" s="6" t="str">
        <f>IFERROR(INDEX($D$6:$D$150,_xlfn.AGGREGATE(15,6,(ROW($D$6:$D$150)-ROW($D$6)+1)/($E$6:$E$150="Tools NC"),ROWS(R$6:R16))),"")</f>
        <v/>
      </c>
      <c r="V16"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6"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16" s="6"/>
    </row>
    <row r="17" spans="2:24" x14ac:dyDescent="0.25">
      <c r="B17" s="183"/>
      <c r="C17" s="188"/>
      <c r="D17" s="185"/>
      <c r="E17" s="186"/>
      <c r="F17" s="187"/>
      <c r="G17" s="186"/>
      <c r="H17" s="187"/>
      <c r="I17" s="186"/>
      <c r="J17" s="231"/>
      <c r="S17" s="6" t="str">
        <f>IFERROR(INDEX($D$6:$D$150,_xlfn.AGGREGATE(15,6,(ROW($D$6:$D$150)-ROW($D$6)+1)/($E$6:$E$150="Knives"),ROWS(R$6:R17))),"")</f>
        <v/>
      </c>
      <c r="T17" s="6" t="str">
        <f>IFERROR(INDEX($D$6:$D$150,_xlfn.AGGREGATE(15,6,(ROW($D$6:$D$150)-ROW($D$6)+1)/($E$6:$E$150="Tools"),ROWS(R$6:R17))),"")</f>
        <v/>
      </c>
      <c r="U17" s="6" t="str">
        <f>IFERROR(INDEX($D$6:$D$150,_xlfn.AGGREGATE(15,6,(ROW($D$6:$D$150)-ROW($D$6)+1)/($E$6:$E$150="Tools NC"),ROWS(R$6:R17))),"")</f>
        <v/>
      </c>
      <c r="V17"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7"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17" s="6"/>
    </row>
    <row r="18" spans="2:24" x14ac:dyDescent="0.25">
      <c r="B18" s="183">
        <v>3</v>
      </c>
      <c r="C18" s="188" t="s">
        <v>244</v>
      </c>
      <c r="D18" s="185" t="s">
        <v>107</v>
      </c>
      <c r="E18" s="186" t="s">
        <v>106</v>
      </c>
      <c r="F18" s="187">
        <v>12</v>
      </c>
      <c r="G18" s="186"/>
      <c r="H18" s="187">
        <v>0</v>
      </c>
      <c r="I18" s="186"/>
      <c r="J18" s="231" t="s">
        <v>318</v>
      </c>
      <c r="S18" s="6" t="str">
        <f>IFERROR(INDEX($D$6:$D$150,_xlfn.AGGREGATE(15,6,(ROW($D$6:$D$150)-ROW($D$6)+1)/($E$6:$E$150="Knives"),ROWS(R$6:R18))),"")</f>
        <v/>
      </c>
      <c r="T18" s="6" t="str">
        <f>IFERROR(INDEX($D$6:$D$150,_xlfn.AGGREGATE(15,6,(ROW($D$6:$D$150)-ROW($D$6)+1)/($E$6:$E$150="Tools"),ROWS(R$6:R18))),"")</f>
        <v/>
      </c>
      <c r="U18" s="6" t="str">
        <f>IFERROR(INDEX($D$6:$D$150,_xlfn.AGGREGATE(15,6,(ROW($D$6:$D$150)-ROW($D$6)+1)/($E$6:$E$150="Tools NC"),ROWS(R$6:R18))),"")</f>
        <v/>
      </c>
      <c r="V18"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8"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18" s="6"/>
    </row>
    <row r="19" spans="2:24" x14ac:dyDescent="0.25">
      <c r="B19" s="183"/>
      <c r="C19" s="188"/>
      <c r="D19" s="185"/>
      <c r="E19" s="186"/>
      <c r="F19" s="187"/>
      <c r="G19" s="186"/>
      <c r="H19" s="187"/>
      <c r="I19" s="186"/>
      <c r="J19" s="231" t="s">
        <v>255</v>
      </c>
      <c r="S19" s="6" t="str">
        <f>IFERROR(INDEX($D$6:$D$150,_xlfn.AGGREGATE(15,6,(ROW($D$6:$D$150)-ROW($D$6)+1)/($E$6:$E$150="Knives"),ROWS(R$6:R19))),"")</f>
        <v/>
      </c>
      <c r="T19" s="6" t="str">
        <f>IFERROR(INDEX($D$6:$D$150,_xlfn.AGGREGATE(15,6,(ROW($D$6:$D$150)-ROW($D$6)+1)/($E$6:$E$150="Tools"),ROWS(R$6:R19))),"")</f>
        <v/>
      </c>
      <c r="U19" s="6" t="str">
        <f>IFERROR(INDEX($D$6:$D$150,_xlfn.AGGREGATE(15,6,(ROW($D$6:$D$150)-ROW($D$6)+1)/($E$6:$E$150="Tools NC"),ROWS(R$6:R19))),"")</f>
        <v/>
      </c>
      <c r="V19"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19"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19" s="6"/>
    </row>
    <row r="20" spans="2:24" x14ac:dyDescent="0.25">
      <c r="B20" s="183"/>
      <c r="C20" s="188"/>
      <c r="D20" s="185"/>
      <c r="E20" s="186"/>
      <c r="F20" s="187"/>
      <c r="G20" s="186"/>
      <c r="H20" s="187"/>
      <c r="I20" s="186"/>
      <c r="J20" s="231" t="s">
        <v>249</v>
      </c>
      <c r="S20" s="6" t="str">
        <f>IFERROR(INDEX($D$6:$D$150,_xlfn.AGGREGATE(15,6,(ROW($D$6:$D$150)-ROW($D$6)+1)/($E$6:$E$150="Knives"),ROWS(R$6:R20))),"")</f>
        <v/>
      </c>
      <c r="T20" s="6" t="str">
        <f>IFERROR(INDEX($D$6:$D$150,_xlfn.AGGREGATE(15,6,(ROW($D$6:$D$150)-ROW($D$6)+1)/($E$6:$E$150="Tools"),ROWS(R$6:R20))),"")</f>
        <v/>
      </c>
      <c r="U20" s="6" t="str">
        <f>IFERROR(INDEX($D$6:$D$150,_xlfn.AGGREGATE(15,6,(ROW($D$6:$D$150)-ROW($D$6)+1)/($E$6:$E$150="Tools NC"),ROWS(R$6:R20))),"")</f>
        <v/>
      </c>
      <c r="V20"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0"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0" s="6"/>
    </row>
    <row r="21" spans="2:24" x14ac:dyDescent="0.25">
      <c r="B21" s="183"/>
      <c r="C21" s="188"/>
      <c r="D21" s="185"/>
      <c r="E21" s="186"/>
      <c r="F21" s="187"/>
      <c r="G21" s="186"/>
      <c r="H21" s="187"/>
      <c r="I21" s="186"/>
      <c r="J21" s="231"/>
      <c r="S21" s="6" t="str">
        <f>IFERROR(INDEX($D$6:$D$150,_xlfn.AGGREGATE(15,6,(ROW($D$6:$D$150)-ROW($D$6)+1)/($E$6:$E$150="Knives"),ROWS(R$6:R21))),"")</f>
        <v/>
      </c>
      <c r="T21" s="6" t="str">
        <f>IFERROR(INDEX($D$6:$D$150,_xlfn.AGGREGATE(15,6,(ROW($D$6:$D$150)-ROW($D$6)+1)/($E$6:$E$150="Tools"),ROWS(R$6:R21))),"")</f>
        <v/>
      </c>
      <c r="U21" s="6" t="str">
        <f>IFERROR(INDEX($D$6:$D$150,_xlfn.AGGREGATE(15,6,(ROW($D$6:$D$150)-ROW($D$6)+1)/($E$6:$E$150="Tools NC"),ROWS(R$6:R21))),"")</f>
        <v/>
      </c>
      <c r="V21"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1"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1" s="6"/>
    </row>
    <row r="22" spans="2:24" x14ac:dyDescent="0.25">
      <c r="B22" s="183"/>
      <c r="C22" s="188"/>
      <c r="D22" s="185"/>
      <c r="E22" s="186"/>
      <c r="F22" s="187"/>
      <c r="G22" s="186"/>
      <c r="H22" s="187"/>
      <c r="I22" s="186"/>
      <c r="J22" s="231"/>
      <c r="S22" s="6" t="str">
        <f>IFERROR(INDEX($D$6:$D$150,_xlfn.AGGREGATE(15,6,(ROW($D$6:$D$150)-ROW($D$6)+1)/($E$6:$E$150="Knives"),ROWS(R$6:R22))),"")</f>
        <v/>
      </c>
      <c r="T22" s="6" t="str">
        <f>IFERROR(INDEX($D$6:$D$150,_xlfn.AGGREGATE(15,6,(ROW($D$6:$D$150)-ROW($D$6)+1)/($E$6:$E$150="Tools"),ROWS(R$6:R22))),"")</f>
        <v/>
      </c>
      <c r="U22" s="6" t="str">
        <f>IFERROR(INDEX($D$6:$D$150,_xlfn.AGGREGATE(15,6,(ROW($D$6:$D$150)-ROW($D$6)+1)/($E$6:$E$150="Tools NC"),ROWS(R$6:R22))),"")</f>
        <v/>
      </c>
      <c r="V22"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2"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2" s="6"/>
    </row>
    <row r="23" spans="2:24" x14ac:dyDescent="0.25">
      <c r="B23" s="183"/>
      <c r="C23" s="188"/>
      <c r="D23" s="185"/>
      <c r="E23" s="186"/>
      <c r="F23" s="187"/>
      <c r="G23" s="186"/>
      <c r="H23" s="187"/>
      <c r="I23" s="186"/>
      <c r="J23" s="231"/>
      <c r="S23" s="6" t="str">
        <f>IFERROR(INDEX($D$6:$D$150,_xlfn.AGGREGATE(15,6,(ROW($D$6:$D$150)-ROW($D$6)+1)/($E$6:$E$150="Knives"),ROWS(R$6:R23))),"")</f>
        <v/>
      </c>
      <c r="T23" s="6" t="str">
        <f>IFERROR(INDEX($D$6:$D$150,_xlfn.AGGREGATE(15,6,(ROW($D$6:$D$150)-ROW($D$6)+1)/($E$6:$E$150="Tools"),ROWS(R$6:R23))),"")</f>
        <v/>
      </c>
      <c r="U23" s="6" t="str">
        <f>IFERROR(INDEX($D$6:$D$150,_xlfn.AGGREGATE(15,6,(ROW($D$6:$D$150)-ROW($D$6)+1)/($E$6:$E$150="Tools NC"),ROWS(R$6:R23))),"")</f>
        <v/>
      </c>
      <c r="V23"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3"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3" s="6"/>
    </row>
    <row r="24" spans="2:24" x14ac:dyDescent="0.25">
      <c r="B24" s="183">
        <v>4</v>
      </c>
      <c r="C24" s="188" t="s">
        <v>245</v>
      </c>
      <c r="D24" s="185" t="s">
        <v>128</v>
      </c>
      <c r="E24" s="186" t="s">
        <v>106</v>
      </c>
      <c r="F24" s="187">
        <v>15.3</v>
      </c>
      <c r="G24" s="186"/>
      <c r="H24" s="187">
        <v>0</v>
      </c>
      <c r="I24" s="186"/>
      <c r="J24" s="231" t="s">
        <v>250</v>
      </c>
      <c r="S24" s="6" t="str">
        <f>IFERROR(INDEX($D$6:$D$150,_xlfn.AGGREGATE(15,6,(ROW($D$6:$D$150)-ROW($D$6)+1)/($E$6:$E$150="Knives"),ROWS(R$6:R24))),"")</f>
        <v/>
      </c>
      <c r="T24" s="6" t="str">
        <f>IFERROR(INDEX($D$6:$D$150,_xlfn.AGGREGATE(15,6,(ROW($D$6:$D$150)-ROW($D$6)+1)/($E$6:$E$150="Tools"),ROWS(R$6:R24))),"")</f>
        <v/>
      </c>
      <c r="U24" s="6" t="str">
        <f>IFERROR(INDEX($D$6:$D$150,_xlfn.AGGREGATE(15,6,(ROW($D$6:$D$150)-ROW($D$6)+1)/($E$6:$E$150="Tools NC"),ROWS(R$6:R24))),"")</f>
        <v/>
      </c>
      <c r="V24"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4"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4" s="6"/>
    </row>
    <row r="25" spans="2:24" x14ac:dyDescent="0.25">
      <c r="B25" s="183"/>
      <c r="C25" s="188"/>
      <c r="D25" s="185"/>
      <c r="E25" s="186"/>
      <c r="F25" s="187"/>
      <c r="G25" s="186"/>
      <c r="H25" s="187"/>
      <c r="I25" s="186"/>
      <c r="J25" s="231" t="s">
        <v>218</v>
      </c>
      <c r="S25" s="6" t="str">
        <f>IFERROR(INDEX($D$6:$D$150,_xlfn.AGGREGATE(15,6,(ROW($D$6:$D$150)-ROW($D$6)+1)/($E$6:$E$150="Knives"),ROWS(R$6:R25))),"")</f>
        <v/>
      </c>
      <c r="T25" s="6" t="str">
        <f>IFERROR(INDEX($D$6:$D$150,_xlfn.AGGREGATE(15,6,(ROW($D$6:$D$150)-ROW($D$6)+1)/($E$6:$E$150="Tools"),ROWS(R$6:R25))),"")</f>
        <v/>
      </c>
      <c r="U25" s="6" t="str">
        <f>IFERROR(INDEX($D$6:$D$150,_xlfn.AGGREGATE(15,6,(ROW($D$6:$D$150)-ROW($D$6)+1)/($E$6:$E$150="Tools NC"),ROWS(R$6:R25))),"")</f>
        <v/>
      </c>
      <c r="V25"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5"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5" s="6"/>
    </row>
    <row r="26" spans="2:24" x14ac:dyDescent="0.25">
      <c r="B26" s="183"/>
      <c r="C26" s="188"/>
      <c r="D26" s="185"/>
      <c r="E26" s="186"/>
      <c r="F26" s="187"/>
      <c r="G26" s="186"/>
      <c r="H26" s="187"/>
      <c r="I26" s="186"/>
      <c r="J26" s="231" t="s">
        <v>318</v>
      </c>
      <c r="S26" s="6" t="str">
        <f>IFERROR(INDEX($D$6:$D$150,_xlfn.AGGREGATE(15,6,(ROW($D$6:$D$150)-ROW($D$6)+1)/($E$6:$E$150="Knives"),ROWS(R$6:R26))),"")</f>
        <v/>
      </c>
      <c r="T26" s="6" t="str">
        <f>IFERROR(INDEX($D$6:$D$150,_xlfn.AGGREGATE(15,6,(ROW($D$6:$D$150)-ROW($D$6)+1)/($E$6:$E$150="Tools"),ROWS(R$6:R26))),"")</f>
        <v/>
      </c>
      <c r="U26" s="6" t="str">
        <f>IFERROR(INDEX($D$6:$D$150,_xlfn.AGGREGATE(15,6,(ROW($D$6:$D$150)-ROW($D$6)+1)/($E$6:$E$150="Tools NC"),ROWS(R$6:R26))),"")</f>
        <v/>
      </c>
      <c r="V26"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6"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6" s="6"/>
    </row>
    <row r="27" spans="2:24" x14ac:dyDescent="0.25">
      <c r="B27" s="183"/>
      <c r="C27" s="188"/>
      <c r="D27" s="185"/>
      <c r="E27" s="186"/>
      <c r="F27" s="187"/>
      <c r="G27" s="186"/>
      <c r="H27" s="187"/>
      <c r="I27" s="186"/>
      <c r="J27" s="231" t="s">
        <v>255</v>
      </c>
      <c r="S27" s="6" t="str">
        <f>IFERROR(INDEX($D$6:$D$150,_xlfn.AGGREGATE(15,6,(ROW($D$6:$D$150)-ROW($D$6)+1)/($E$6:$E$150="Knives"),ROWS(R$6:R27))),"")</f>
        <v/>
      </c>
      <c r="T27" s="6" t="str">
        <f>IFERROR(INDEX($D$6:$D$150,_xlfn.AGGREGATE(15,6,(ROW($D$6:$D$150)-ROW($D$6)+1)/($E$6:$E$150="Tools"),ROWS(R$6:R27))),"")</f>
        <v/>
      </c>
      <c r="U27" s="6" t="str">
        <f>IFERROR(INDEX($D$6:$D$150,_xlfn.AGGREGATE(15,6,(ROW($D$6:$D$150)-ROW($D$6)+1)/($E$6:$E$150="Tools NC"),ROWS(R$6:R27))),"")</f>
        <v/>
      </c>
      <c r="V27"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7"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7" s="6"/>
    </row>
    <row r="28" spans="2:24" x14ac:dyDescent="0.25">
      <c r="B28" s="183"/>
      <c r="C28" s="188"/>
      <c r="D28" s="185"/>
      <c r="E28" s="186"/>
      <c r="F28" s="187"/>
      <c r="G28" s="186"/>
      <c r="H28" s="187"/>
      <c r="I28" s="186"/>
      <c r="J28" s="231" t="s">
        <v>249</v>
      </c>
      <c r="S28" s="6" t="str">
        <f>IFERROR(INDEX($D$6:$D$150,_xlfn.AGGREGATE(15,6,(ROW($D$6:$D$150)-ROW($D$6)+1)/($E$6:$E$150="Knives"),ROWS(R$6:R28))),"")</f>
        <v/>
      </c>
      <c r="T28" s="6" t="str">
        <f>IFERROR(INDEX($D$6:$D$150,_xlfn.AGGREGATE(15,6,(ROW($D$6:$D$150)-ROW($D$6)+1)/($E$6:$E$150="Tools"),ROWS(R$6:R28))),"")</f>
        <v/>
      </c>
      <c r="U28" s="6" t="str">
        <f>IFERROR(INDEX($D$6:$D$150,_xlfn.AGGREGATE(15,6,(ROW($D$6:$D$150)-ROW($D$6)+1)/($E$6:$E$150="Tools NC"),ROWS(R$6:R28))),"")</f>
        <v/>
      </c>
      <c r="V28"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8"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8" s="6"/>
    </row>
    <row r="29" spans="2:24" x14ac:dyDescent="0.25">
      <c r="B29" s="183"/>
      <c r="C29" s="188"/>
      <c r="D29" s="185"/>
      <c r="E29" s="186"/>
      <c r="F29" s="187"/>
      <c r="G29" s="186"/>
      <c r="H29" s="187"/>
      <c r="I29" s="186"/>
      <c r="J29" s="231"/>
      <c r="S29" s="6" t="str">
        <f>IFERROR(INDEX($D$6:$D$150,_xlfn.AGGREGATE(15,6,(ROW($D$6:$D$150)-ROW($D$6)+1)/($E$6:$E$150="Knives"),ROWS(R$6:R29))),"")</f>
        <v/>
      </c>
      <c r="T29" s="6" t="str">
        <f>IFERROR(INDEX($D$6:$D$150,_xlfn.AGGREGATE(15,6,(ROW($D$6:$D$150)-ROW($D$6)+1)/($E$6:$E$150="Tools"),ROWS(R$6:R29))),"")</f>
        <v/>
      </c>
      <c r="U29" s="6" t="str">
        <f>IFERROR(INDEX($D$6:$D$150,_xlfn.AGGREGATE(15,6,(ROW($D$6:$D$150)-ROW($D$6)+1)/($E$6:$E$150="Tools NC"),ROWS(R$6:R29))),"")</f>
        <v/>
      </c>
      <c r="V29"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29"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29" s="6"/>
    </row>
    <row r="30" spans="2:24" x14ac:dyDescent="0.25">
      <c r="B30" s="183">
        <v>5</v>
      </c>
      <c r="C30" s="188" t="s">
        <v>208</v>
      </c>
      <c r="D30" s="185" t="s">
        <v>78</v>
      </c>
      <c r="E30" s="186" t="s">
        <v>106</v>
      </c>
      <c r="F30" s="187">
        <v>12</v>
      </c>
      <c r="G30" s="186"/>
      <c r="H30" s="187">
        <v>0</v>
      </c>
      <c r="I30" s="186"/>
      <c r="J30" s="231" t="s">
        <v>144</v>
      </c>
      <c r="S30" s="6" t="str">
        <f>IFERROR(INDEX($D$6:$D$150,_xlfn.AGGREGATE(15,6,(ROW($D$6:$D$150)-ROW($D$6)+1)/($E$6:$E$150="Knives"),ROWS(R$6:R30))),"")</f>
        <v/>
      </c>
      <c r="T30" s="6" t="str">
        <f>IFERROR(INDEX($D$6:$D$150,_xlfn.AGGREGATE(15,6,(ROW($D$6:$D$150)-ROW($D$6)+1)/($E$6:$E$150="Tools"),ROWS(R$6:R30))),"")</f>
        <v/>
      </c>
      <c r="U30" s="6" t="str">
        <f>IFERROR(INDEX($D$6:$D$150,_xlfn.AGGREGATE(15,6,(ROW($D$6:$D$150)-ROW($D$6)+1)/($E$6:$E$150="Tools NC"),ROWS(R$6:R30))),"")</f>
        <v/>
      </c>
      <c r="V30"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0"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0" s="6"/>
    </row>
    <row r="31" spans="2:24" x14ac:dyDescent="0.25">
      <c r="B31" s="183"/>
      <c r="C31" s="188"/>
      <c r="D31" s="185"/>
      <c r="E31" s="186"/>
      <c r="F31" s="187"/>
      <c r="G31" s="186"/>
      <c r="H31" s="187"/>
      <c r="I31" s="186"/>
      <c r="J31" s="231" t="s">
        <v>318</v>
      </c>
      <c r="S31" s="6" t="str">
        <f>IFERROR(INDEX($D$6:$D$150,_xlfn.AGGREGATE(15,6,(ROW($D$6:$D$150)-ROW($D$6)+1)/($E$6:$E$150="Knives"),ROWS(R$6:R31))),"")</f>
        <v/>
      </c>
      <c r="T31" s="6" t="str">
        <f>IFERROR(INDEX($D$6:$D$150,_xlfn.AGGREGATE(15,6,(ROW($D$6:$D$150)-ROW($D$6)+1)/($E$6:$E$150="Tools"),ROWS(R$6:R31))),"")</f>
        <v/>
      </c>
      <c r="U31" s="6" t="str">
        <f>IFERROR(INDEX($D$6:$D$150,_xlfn.AGGREGATE(15,6,(ROW($D$6:$D$150)-ROW($D$6)+1)/($E$6:$E$150="Tools NC"),ROWS(R$6:R31))),"")</f>
        <v/>
      </c>
      <c r="V31"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1"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1" s="6"/>
    </row>
    <row r="32" spans="2:24" x14ac:dyDescent="0.25">
      <c r="B32" s="183"/>
      <c r="C32" s="188"/>
      <c r="D32" s="185"/>
      <c r="E32" s="186"/>
      <c r="F32" s="187"/>
      <c r="G32" s="186"/>
      <c r="H32" s="187"/>
      <c r="I32" s="186"/>
      <c r="J32" s="231" t="s">
        <v>255</v>
      </c>
      <c r="S32" s="6" t="str">
        <f>IFERROR(INDEX($D$6:$D$150,_xlfn.AGGREGATE(15,6,(ROW($D$6:$D$150)-ROW($D$6)+1)/($E$6:$E$150="Knives"),ROWS(R$6:R32))),"")</f>
        <v/>
      </c>
      <c r="T32" s="6" t="str">
        <f>IFERROR(INDEX($D$6:$D$150,_xlfn.AGGREGATE(15,6,(ROW($D$6:$D$150)-ROW($D$6)+1)/($E$6:$E$150="Tools"),ROWS(R$6:R32))),"")</f>
        <v/>
      </c>
      <c r="U32" s="6" t="str">
        <f>IFERROR(INDEX($D$6:$D$150,_xlfn.AGGREGATE(15,6,(ROW($D$6:$D$150)-ROW($D$6)+1)/($E$6:$E$150="Tools NC"),ROWS(R$6:R32))),"")</f>
        <v/>
      </c>
      <c r="V32"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2"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2" s="6"/>
    </row>
    <row r="33" spans="2:24" x14ac:dyDescent="0.25">
      <c r="B33" s="183"/>
      <c r="C33" s="188"/>
      <c r="D33" s="185"/>
      <c r="E33" s="186"/>
      <c r="F33" s="187"/>
      <c r="G33" s="186"/>
      <c r="H33" s="187"/>
      <c r="I33" s="186"/>
      <c r="J33" s="231" t="s">
        <v>249</v>
      </c>
      <c r="S33" s="6" t="str">
        <f>IFERROR(INDEX($D$6:$D$150,_xlfn.AGGREGATE(15,6,(ROW($D$6:$D$150)-ROW($D$6)+1)/($E$6:$E$150="Knives"),ROWS(R$6:R33))),"")</f>
        <v/>
      </c>
      <c r="T33" s="6" t="str">
        <f>IFERROR(INDEX($D$6:$D$150,_xlfn.AGGREGATE(15,6,(ROW($D$6:$D$150)-ROW($D$6)+1)/($E$6:$E$150="Tools"),ROWS(R$6:R33))),"")</f>
        <v/>
      </c>
      <c r="U33" s="6" t="str">
        <f>IFERROR(INDEX($D$6:$D$150,_xlfn.AGGREGATE(15,6,(ROW($D$6:$D$150)-ROW($D$6)+1)/($E$6:$E$150="Tools NC"),ROWS(R$6:R33))),"")</f>
        <v/>
      </c>
      <c r="V33"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3"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3" s="6"/>
    </row>
    <row r="34" spans="2:24" x14ac:dyDescent="0.25">
      <c r="B34" s="183"/>
      <c r="C34" s="188"/>
      <c r="D34" s="185"/>
      <c r="E34" s="186"/>
      <c r="F34" s="187"/>
      <c r="G34" s="186"/>
      <c r="H34" s="187"/>
      <c r="I34" s="186"/>
      <c r="J34" s="231"/>
      <c r="S34" s="6" t="str">
        <f>IFERROR(INDEX($D$6:$D$150,_xlfn.AGGREGATE(15,6,(ROW($D$6:$D$150)-ROW($D$6)+1)/($E$6:$E$150="Knives"),ROWS(R$6:R34))),"")</f>
        <v/>
      </c>
      <c r="T34" s="6" t="str">
        <f>IFERROR(INDEX($D$6:$D$150,_xlfn.AGGREGATE(15,6,(ROW($D$6:$D$150)-ROW($D$6)+1)/($E$6:$E$150="Tools"),ROWS(R$6:R34))),"")</f>
        <v/>
      </c>
      <c r="U34" s="6" t="str">
        <f>IFERROR(INDEX($D$6:$D$150,_xlfn.AGGREGATE(15,6,(ROW($D$6:$D$150)-ROW($D$6)+1)/($E$6:$E$150="Tools NC"),ROWS(R$6:R34))),"")</f>
        <v/>
      </c>
      <c r="V34"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4"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4" s="6"/>
    </row>
    <row r="35" spans="2:24" x14ac:dyDescent="0.25">
      <c r="B35" s="183"/>
      <c r="C35" s="188"/>
      <c r="D35" s="185"/>
      <c r="E35" s="186"/>
      <c r="F35" s="187"/>
      <c r="G35" s="186"/>
      <c r="H35" s="187"/>
      <c r="I35" s="186"/>
      <c r="J35" s="231"/>
      <c r="S35" s="6" t="str">
        <f>IFERROR(INDEX($D$6:$D$150,_xlfn.AGGREGATE(15,6,(ROW($D$6:$D$150)-ROW($D$6)+1)/($E$6:$E$150="Knives"),ROWS(R$6:R35))),"")</f>
        <v/>
      </c>
      <c r="T35" s="6" t="str">
        <f>IFERROR(INDEX($D$6:$D$150,_xlfn.AGGREGATE(15,6,(ROW($D$6:$D$150)-ROW($D$6)+1)/($E$6:$E$150="Tools"),ROWS(R$6:R35))),"")</f>
        <v/>
      </c>
      <c r="U35" s="6" t="str">
        <f>IFERROR(INDEX($D$6:$D$150,_xlfn.AGGREGATE(15,6,(ROW($D$6:$D$150)-ROW($D$6)+1)/($E$6:$E$150="Tools NC"),ROWS(R$6:R35))),"")</f>
        <v/>
      </c>
      <c r="V35"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5"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5" s="6"/>
    </row>
    <row r="36" spans="2:24" x14ac:dyDescent="0.25">
      <c r="B36" s="183">
        <v>6</v>
      </c>
      <c r="C36" s="188" t="s">
        <v>208</v>
      </c>
      <c r="D36" s="185" t="s">
        <v>129</v>
      </c>
      <c r="E36" s="186" t="s">
        <v>106</v>
      </c>
      <c r="F36" s="187">
        <v>15.3</v>
      </c>
      <c r="G36" s="186"/>
      <c r="H36" s="187">
        <v>0</v>
      </c>
      <c r="I36" s="186"/>
      <c r="J36" s="231" t="s">
        <v>145</v>
      </c>
      <c r="S36" s="6" t="str">
        <f>IFERROR(INDEX($D$6:$D$150,_xlfn.AGGREGATE(15,6,(ROW($D$6:$D$150)-ROW($D$6)+1)/($E$6:$E$150="Knives"),ROWS(R$6:R36))),"")</f>
        <v/>
      </c>
      <c r="T36" s="6" t="str">
        <f>IFERROR(INDEX($D$6:$D$150,_xlfn.AGGREGATE(15,6,(ROW($D$6:$D$150)-ROW($D$6)+1)/($E$6:$E$150="Tools"),ROWS(R$6:R36))),"")</f>
        <v/>
      </c>
      <c r="U36" s="6" t="str">
        <f>IFERROR(INDEX($D$6:$D$150,_xlfn.AGGREGATE(15,6,(ROW($D$6:$D$150)-ROW($D$6)+1)/($E$6:$E$150="Tools NC"),ROWS(R$6:R36))),"")</f>
        <v/>
      </c>
      <c r="V36"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6"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6" s="6"/>
    </row>
    <row r="37" spans="2:24" x14ac:dyDescent="0.25">
      <c r="B37" s="183"/>
      <c r="C37" s="188"/>
      <c r="D37" s="185"/>
      <c r="E37" s="186"/>
      <c r="F37" s="187"/>
      <c r="G37" s="186"/>
      <c r="H37" s="187"/>
      <c r="I37" s="186"/>
      <c r="J37" s="231" t="s">
        <v>318</v>
      </c>
      <c r="S37" s="6" t="str">
        <f>IFERROR(INDEX($D$6:$D$150,_xlfn.AGGREGATE(15,6,(ROW($D$6:$D$150)-ROW($D$6)+1)/($E$6:$E$150="Knives"),ROWS(R$6:R37))),"")</f>
        <v/>
      </c>
      <c r="T37" s="6" t="str">
        <f>IFERROR(INDEX($D$6:$D$150,_xlfn.AGGREGATE(15,6,(ROW($D$6:$D$150)-ROW($D$6)+1)/($E$6:$E$150="Tools"),ROWS(R$6:R37))),"")</f>
        <v/>
      </c>
      <c r="U37" s="6" t="str">
        <f>IFERROR(INDEX($D$6:$D$150,_xlfn.AGGREGATE(15,6,(ROW($D$6:$D$150)-ROW($D$6)+1)/($E$6:$E$150="Tools NC"),ROWS(R$6:R37))),"")</f>
        <v/>
      </c>
      <c r="V37"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7"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7" s="6"/>
    </row>
    <row r="38" spans="2:24" x14ac:dyDescent="0.25">
      <c r="B38" s="183"/>
      <c r="C38" s="188"/>
      <c r="D38" s="185"/>
      <c r="E38" s="186"/>
      <c r="F38" s="187"/>
      <c r="G38" s="186"/>
      <c r="H38" s="187"/>
      <c r="I38" s="186"/>
      <c r="J38" s="231" t="s">
        <v>255</v>
      </c>
      <c r="S38" s="6" t="str">
        <f>IFERROR(INDEX($D$6:$D$150,_xlfn.AGGREGATE(15,6,(ROW($D$6:$D$150)-ROW($D$6)+1)/($E$6:$E$150="Knives"),ROWS(R$6:R38))),"")</f>
        <v/>
      </c>
      <c r="T38" s="6" t="str">
        <f>IFERROR(INDEX($D$6:$D$150,_xlfn.AGGREGATE(15,6,(ROW($D$6:$D$150)-ROW($D$6)+1)/($E$6:$E$150="Tools"),ROWS(R$6:R38))),"")</f>
        <v/>
      </c>
      <c r="U38" s="6" t="str">
        <f>IFERROR(INDEX($D$6:$D$150,_xlfn.AGGREGATE(15,6,(ROW($D$6:$D$150)-ROW($D$6)+1)/($E$6:$E$150="Tools NC"),ROWS(R$6:R38))),"")</f>
        <v/>
      </c>
      <c r="V38"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8"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8" s="6"/>
    </row>
    <row r="39" spans="2:24" x14ac:dyDescent="0.25">
      <c r="B39" s="183"/>
      <c r="C39" s="188"/>
      <c r="D39" s="185"/>
      <c r="E39" s="186"/>
      <c r="F39" s="187"/>
      <c r="G39" s="186"/>
      <c r="H39" s="187"/>
      <c r="I39" s="186"/>
      <c r="J39" s="231" t="s">
        <v>249</v>
      </c>
      <c r="S39" s="6" t="str">
        <f>IFERROR(INDEX($D$6:$D$150,_xlfn.AGGREGATE(15,6,(ROW($D$6:$D$150)-ROW($D$6)+1)/($E$6:$E$150="Knives"),ROWS(R$6:R39))),"")</f>
        <v/>
      </c>
      <c r="T39" s="6" t="str">
        <f>IFERROR(INDEX($D$6:$D$150,_xlfn.AGGREGATE(15,6,(ROW($D$6:$D$150)-ROW($D$6)+1)/($E$6:$E$150="Tools"),ROWS(R$6:R39))),"")</f>
        <v/>
      </c>
      <c r="U39" s="6" t="str">
        <f>IFERROR(INDEX($D$6:$D$150,_xlfn.AGGREGATE(15,6,(ROW($D$6:$D$150)-ROW($D$6)+1)/($E$6:$E$150="Tools NC"),ROWS(R$6:R39))),"")</f>
        <v/>
      </c>
      <c r="V39"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39"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39" s="6"/>
    </row>
    <row r="40" spans="2:24" x14ac:dyDescent="0.25">
      <c r="B40" s="183"/>
      <c r="C40" s="188"/>
      <c r="D40" s="185"/>
      <c r="E40" s="186"/>
      <c r="F40" s="187"/>
      <c r="G40" s="186"/>
      <c r="H40" s="187"/>
      <c r="I40" s="186"/>
      <c r="J40" s="231"/>
      <c r="S40" s="6" t="str">
        <f>IFERROR(INDEX($D$6:$D$150,_xlfn.AGGREGATE(15,6,(ROW($D$6:$D$150)-ROW($D$6)+1)/($E$6:$E$150="Knives"),ROWS(R$6:R40))),"")</f>
        <v/>
      </c>
      <c r="T40" s="6" t="str">
        <f>IFERROR(INDEX($D$6:$D$150,_xlfn.AGGREGATE(15,6,(ROW($D$6:$D$150)-ROW($D$6)+1)/($E$6:$E$150="Tools"),ROWS(R$6:R40))),"")</f>
        <v/>
      </c>
      <c r="U40" s="6" t="str">
        <f>IFERROR(INDEX($D$6:$D$150,_xlfn.AGGREGATE(15,6,(ROW($D$6:$D$150)-ROW($D$6)+1)/($E$6:$E$150="Tools NC"),ROWS(R$6:R40))),"")</f>
        <v/>
      </c>
      <c r="V40"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0"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0" s="6"/>
    </row>
    <row r="41" spans="2:24" x14ac:dyDescent="0.25">
      <c r="B41" s="183"/>
      <c r="C41" s="188"/>
      <c r="D41" s="185"/>
      <c r="E41" s="186"/>
      <c r="F41" s="187"/>
      <c r="G41" s="186"/>
      <c r="H41" s="187"/>
      <c r="I41" s="186"/>
      <c r="J41" s="231"/>
      <c r="S41" s="6" t="str">
        <f>IFERROR(INDEX($D$6:$D$150,_xlfn.AGGREGATE(15,6,(ROW($D$6:$D$150)-ROW($D$6)+1)/($E$6:$E$150="Knives"),ROWS(R$6:R41))),"")</f>
        <v/>
      </c>
      <c r="T41" s="6" t="str">
        <f>IFERROR(INDEX($D$6:$D$150,_xlfn.AGGREGATE(15,6,(ROW($D$6:$D$150)-ROW($D$6)+1)/($E$6:$E$150="Tools"),ROWS(R$6:R41))),"")</f>
        <v/>
      </c>
      <c r="U41" s="6" t="str">
        <f>IFERROR(INDEX($D$6:$D$150,_xlfn.AGGREGATE(15,6,(ROW($D$6:$D$150)-ROW($D$6)+1)/($E$6:$E$150="Tools NC"),ROWS(R$6:R41))),"")</f>
        <v/>
      </c>
      <c r="V41"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1"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1" s="6"/>
    </row>
    <row r="42" spans="2:24" x14ac:dyDescent="0.25">
      <c r="B42" s="183">
        <v>7</v>
      </c>
      <c r="C42" s="188" t="s">
        <v>94</v>
      </c>
      <c r="D42" s="185" t="s">
        <v>87</v>
      </c>
      <c r="E42" s="186" t="s">
        <v>105</v>
      </c>
      <c r="F42" s="187">
        <f>30.6*2-VariableUSBDia</f>
        <v>49.2</v>
      </c>
      <c r="G42" s="186"/>
      <c r="H42" s="187">
        <f>24.1+VariableUSBDia/2</f>
        <v>30.1</v>
      </c>
      <c r="I42" s="186"/>
      <c r="J42" s="231" t="s">
        <v>319</v>
      </c>
      <c r="S42" s="6" t="str">
        <f>IFERROR(INDEX($D$6:$D$150,_xlfn.AGGREGATE(15,6,(ROW($D$6:$D$150)-ROW($D$6)+1)/($E$6:$E$150="Knives"),ROWS(R$6:R42))),"")</f>
        <v/>
      </c>
      <c r="T42" s="6" t="str">
        <f>IFERROR(INDEX($D$6:$D$150,_xlfn.AGGREGATE(15,6,(ROW($D$6:$D$150)-ROW($D$6)+1)/($E$6:$E$150="Tools"),ROWS(R$6:R42))),"")</f>
        <v/>
      </c>
      <c r="U42" s="6" t="str">
        <f>IFERROR(INDEX($D$6:$D$150,_xlfn.AGGREGATE(15,6,(ROW($D$6:$D$150)-ROW($D$6)+1)/($E$6:$E$150="Tools NC"),ROWS(R$6:R42))),"")</f>
        <v/>
      </c>
      <c r="V42"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2"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2" s="6"/>
    </row>
    <row r="43" spans="2:24" x14ac:dyDescent="0.25">
      <c r="B43" s="183"/>
      <c r="C43" s="188"/>
      <c r="D43" s="185"/>
      <c r="E43" s="186"/>
      <c r="F43" s="187"/>
      <c r="G43" s="186"/>
      <c r="H43" s="187"/>
      <c r="I43" s="186"/>
      <c r="J43" s="231" t="s">
        <v>252</v>
      </c>
      <c r="S43" s="6" t="str">
        <f>IFERROR(INDEX($D$6:$D$150,_xlfn.AGGREGATE(15,6,(ROW($D$6:$D$150)-ROW($D$6)+1)/($E$6:$E$150="Knives"),ROWS(R$6:R43))),"")</f>
        <v/>
      </c>
      <c r="T43" s="6" t="str">
        <f>IFERROR(INDEX($D$6:$D$150,_xlfn.AGGREGATE(15,6,(ROW($D$6:$D$150)-ROW($D$6)+1)/($E$6:$E$150="Tools"),ROWS(R$6:R43))),"")</f>
        <v/>
      </c>
      <c r="U43" s="6" t="str">
        <f>IFERROR(INDEX($D$6:$D$150,_xlfn.AGGREGATE(15,6,(ROW($D$6:$D$150)-ROW($D$6)+1)/($E$6:$E$150="Tools NC"),ROWS(R$6:R43))),"")</f>
        <v/>
      </c>
      <c r="V43"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3"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3" s="6"/>
    </row>
    <row r="44" spans="2:24" x14ac:dyDescent="0.25">
      <c r="B44" s="183"/>
      <c r="C44" s="188"/>
      <c r="D44" s="185"/>
      <c r="E44" s="186"/>
      <c r="F44" s="187"/>
      <c r="G44" s="186"/>
      <c r="H44" s="187"/>
      <c r="I44" s="186"/>
      <c r="J44" s="231" t="s">
        <v>320</v>
      </c>
      <c r="S44" s="6" t="str">
        <f>IFERROR(INDEX($D$6:$D$150,_xlfn.AGGREGATE(15,6,(ROW($D$6:$D$150)-ROW($D$6)+1)/($E$6:$E$150="Knives"),ROWS(R$6:R44))),"")</f>
        <v/>
      </c>
      <c r="T44" s="6" t="str">
        <f>IFERROR(INDEX($D$6:$D$150,_xlfn.AGGREGATE(15,6,(ROW($D$6:$D$150)-ROW($D$6)+1)/($E$6:$E$150="Tools"),ROWS(R$6:R44))),"")</f>
        <v/>
      </c>
      <c r="U44" s="6" t="str">
        <f>IFERROR(INDEX($D$6:$D$150,_xlfn.AGGREGATE(15,6,(ROW($D$6:$D$150)-ROW($D$6)+1)/($E$6:$E$150="Tools NC"),ROWS(R$6:R44))),"")</f>
        <v/>
      </c>
      <c r="V44"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4"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4" s="6"/>
    </row>
    <row r="45" spans="2:24" x14ac:dyDescent="0.25">
      <c r="B45" s="183"/>
      <c r="C45" s="188"/>
      <c r="D45" s="185"/>
      <c r="E45" s="186"/>
      <c r="F45" s="187"/>
      <c r="G45" s="186"/>
      <c r="H45" s="187"/>
      <c r="I45" s="186"/>
      <c r="J45" s="231" t="s">
        <v>285</v>
      </c>
      <c r="S45" s="6" t="str">
        <f>IFERROR(INDEX($D$6:$D$150,_xlfn.AGGREGATE(15,6,(ROW($D$6:$D$150)-ROW($D$6)+1)/($E$6:$E$150="Knives"),ROWS(R$6:R45))),"")</f>
        <v/>
      </c>
      <c r="T45" s="6" t="str">
        <f>IFERROR(INDEX($D$6:$D$150,_xlfn.AGGREGATE(15,6,(ROW($D$6:$D$150)-ROW($D$6)+1)/($E$6:$E$150="Tools"),ROWS(R$6:R45))),"")</f>
        <v/>
      </c>
      <c r="U45" s="6" t="str">
        <f>IFERROR(INDEX($D$6:$D$150,_xlfn.AGGREGATE(15,6,(ROW($D$6:$D$150)-ROW($D$6)+1)/($E$6:$E$150="Tools NC"),ROWS(R$6:R45))),"")</f>
        <v/>
      </c>
      <c r="V45"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5"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5" s="6"/>
    </row>
    <row r="46" spans="2:24" x14ac:dyDescent="0.25">
      <c r="B46" s="183"/>
      <c r="C46" s="188"/>
      <c r="D46" s="185"/>
      <c r="E46" s="186"/>
      <c r="F46" s="187"/>
      <c r="G46" s="186"/>
      <c r="H46" s="187"/>
      <c r="I46" s="186"/>
      <c r="J46" s="231" t="s">
        <v>321</v>
      </c>
      <c r="S46" s="6" t="str">
        <f>IFERROR(INDEX($D$6:$D$150,_xlfn.AGGREGATE(15,6,(ROW($D$6:$D$150)-ROW($D$6)+1)/($E$6:$E$150="Knives"),ROWS(R$6:R46))),"")</f>
        <v/>
      </c>
      <c r="T46" s="6" t="str">
        <f>IFERROR(INDEX($D$6:$D$150,_xlfn.AGGREGATE(15,6,(ROW($D$6:$D$150)-ROW($D$6)+1)/($E$6:$E$150="Tools"),ROWS(R$6:R46))),"")</f>
        <v/>
      </c>
      <c r="U46" s="6" t="str">
        <f>IFERROR(INDEX($D$6:$D$150,_xlfn.AGGREGATE(15,6,(ROW($D$6:$D$150)-ROW($D$6)+1)/($E$6:$E$150="Tools NC"),ROWS(R$6:R46))),"")</f>
        <v/>
      </c>
      <c r="V46"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6"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6" s="6"/>
    </row>
    <row r="47" spans="2:24" x14ac:dyDescent="0.25">
      <c r="B47" s="183"/>
      <c r="C47" s="188"/>
      <c r="D47" s="185"/>
      <c r="E47" s="186"/>
      <c r="F47" s="187"/>
      <c r="G47" s="186"/>
      <c r="H47" s="187"/>
      <c r="I47" s="186"/>
      <c r="J47" s="231" t="s">
        <v>256</v>
      </c>
      <c r="S47" s="6" t="str">
        <f>IFERROR(INDEX($D$6:$D$150,_xlfn.AGGREGATE(15,6,(ROW($D$6:$D$150)-ROW($D$6)+1)/($E$6:$E$150="Knives"),ROWS(R$6:R47))),"")</f>
        <v/>
      </c>
      <c r="T47" s="6" t="str">
        <f>IFERROR(INDEX($D$6:$D$150,_xlfn.AGGREGATE(15,6,(ROW($D$6:$D$150)-ROW($D$6)+1)/($E$6:$E$150="Tools"),ROWS(R$6:R47))),"")</f>
        <v/>
      </c>
      <c r="U47" s="6" t="str">
        <f>IFERROR(INDEX($D$6:$D$150,_xlfn.AGGREGATE(15,6,(ROW($D$6:$D$150)-ROW($D$6)+1)/($E$6:$E$150="Tools NC"),ROWS(R$6:R47))),"")</f>
        <v/>
      </c>
      <c r="V47"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7"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7" s="6"/>
    </row>
    <row r="48" spans="2:24" x14ac:dyDescent="0.25">
      <c r="B48" s="183"/>
      <c r="C48" s="188"/>
      <c r="D48" s="185"/>
      <c r="E48" s="186"/>
      <c r="F48" s="187"/>
      <c r="G48" s="186"/>
      <c r="H48" s="187"/>
      <c r="I48" s="186"/>
      <c r="J48" s="231" t="s">
        <v>249</v>
      </c>
      <c r="S48" s="6" t="str">
        <f>IFERROR(INDEX($D$6:$D$150,_xlfn.AGGREGATE(15,6,(ROW($D$6:$D$150)-ROW($D$6)+1)/($E$6:$E$150="Knives"),ROWS(R$6:R48))),"")</f>
        <v/>
      </c>
      <c r="T48" s="6" t="str">
        <f>IFERROR(INDEX($D$6:$D$150,_xlfn.AGGREGATE(15,6,(ROW($D$6:$D$150)-ROW($D$6)+1)/($E$6:$E$150="Tools"),ROWS(R$6:R48))),"")</f>
        <v/>
      </c>
      <c r="U48" s="6" t="str">
        <f>IFERROR(INDEX($D$6:$D$150,_xlfn.AGGREGATE(15,6,(ROW($D$6:$D$150)-ROW($D$6)+1)/($E$6:$E$150="Tools NC"),ROWS(R$6:R48))),"")</f>
        <v/>
      </c>
      <c r="V48"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8"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8" s="6"/>
    </row>
    <row r="49" spans="2:24" x14ac:dyDescent="0.25">
      <c r="B49" s="183"/>
      <c r="C49" s="188"/>
      <c r="D49" s="185"/>
      <c r="E49" s="186"/>
      <c r="F49" s="187"/>
      <c r="G49" s="186"/>
      <c r="H49" s="187"/>
      <c r="I49" s="186"/>
      <c r="J49" s="231"/>
      <c r="S49" s="6" t="str">
        <f>IFERROR(INDEX($D$6:$D$150,_xlfn.AGGREGATE(15,6,(ROW($D$6:$D$150)-ROW($D$6)+1)/($E$6:$E$150="Knives"),ROWS(R$6:R49))),"")</f>
        <v/>
      </c>
      <c r="T49" s="6" t="str">
        <f>IFERROR(INDEX($D$6:$D$150,_xlfn.AGGREGATE(15,6,(ROW($D$6:$D$150)-ROW($D$6)+1)/($E$6:$E$150="Tools"),ROWS(R$6:R49))),"")</f>
        <v/>
      </c>
      <c r="U49" s="6" t="str">
        <f>IFERROR(INDEX($D$6:$D$150,_xlfn.AGGREGATE(15,6,(ROW($D$6:$D$150)-ROW($D$6)+1)/($E$6:$E$150="Tools NC"),ROWS(R$6:R49))),"")</f>
        <v/>
      </c>
      <c r="V49"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49"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49" s="6"/>
    </row>
    <row r="50" spans="2:24" x14ac:dyDescent="0.25">
      <c r="B50" s="183"/>
      <c r="C50" s="188"/>
      <c r="D50" s="185"/>
      <c r="E50" s="186"/>
      <c r="F50" s="187"/>
      <c r="G50" s="186"/>
      <c r="H50" s="187"/>
      <c r="I50" s="186"/>
      <c r="J50" s="231"/>
      <c r="S50" s="6" t="str">
        <f>IFERROR(INDEX($D$6:$D$150,_xlfn.AGGREGATE(15,6,(ROW($D$6:$D$150)-ROW($D$6)+1)/($E$6:$E$150="Knives"),ROWS(R$6:R50))),"")</f>
        <v/>
      </c>
      <c r="T50" s="6" t="str">
        <f>IFERROR(INDEX($D$6:$D$150,_xlfn.AGGREGATE(15,6,(ROW($D$6:$D$150)-ROW($D$6)+1)/($E$6:$E$150="Tools"),ROWS(R$6:R50))),"")</f>
        <v/>
      </c>
      <c r="U50" s="6" t="str">
        <f>IFERROR(INDEX($D$6:$D$150,_xlfn.AGGREGATE(15,6,(ROW($D$6:$D$150)-ROW($D$6)+1)/($E$6:$E$150="Tools NC"),ROWS(R$6:R50))),"")</f>
        <v/>
      </c>
      <c r="V50"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50"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50" s="6"/>
    </row>
    <row r="51" spans="2:24" x14ac:dyDescent="0.25">
      <c r="B51" s="183">
        <v>8</v>
      </c>
      <c r="C51" s="188" t="s">
        <v>209</v>
      </c>
      <c r="D51" s="185" t="s">
        <v>253</v>
      </c>
      <c r="E51" s="186" t="s">
        <v>105</v>
      </c>
      <c r="F51" s="187">
        <v>21.7</v>
      </c>
      <c r="G51" s="186"/>
      <c r="H51" s="187">
        <v>0</v>
      </c>
      <c r="I51" s="186"/>
      <c r="J51" s="231" t="s">
        <v>322</v>
      </c>
      <c r="S51" s="6" t="str">
        <f>IFERROR(INDEX($D$6:$D$150,_xlfn.AGGREGATE(15,6,(ROW($D$6:$D$150)-ROW($D$6)+1)/($E$6:$E$150="Knives"),ROWS(R$6:R51))),"")</f>
        <v/>
      </c>
      <c r="T51" s="6" t="str">
        <f>IFERROR(INDEX($D$6:$D$150,_xlfn.AGGREGATE(15,6,(ROW($D$6:$D$150)-ROW($D$6)+1)/($E$6:$E$150="Tools"),ROWS(R$6:R51))),"")</f>
        <v/>
      </c>
      <c r="U51" s="6" t="str">
        <f>IFERROR(INDEX($D$6:$D$150,_xlfn.AGGREGATE(15,6,(ROW($D$6:$D$150)-ROW($D$6)+1)/($E$6:$E$150="Tools NC"),ROWS(R$6:R51))),"")</f>
        <v/>
      </c>
      <c r="V51"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51"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51" s="6"/>
    </row>
    <row r="52" spans="2:24" x14ac:dyDescent="0.25">
      <c r="B52" s="183"/>
      <c r="C52" s="188"/>
      <c r="D52" s="185"/>
      <c r="E52" s="186"/>
      <c r="F52" s="187"/>
      <c r="G52" s="186"/>
      <c r="H52" s="187"/>
      <c r="I52" s="186"/>
      <c r="J52" s="231" t="s">
        <v>323</v>
      </c>
      <c r="S52" s="6" t="str">
        <f>IFERROR(INDEX($D$6:$D$150,_xlfn.AGGREGATE(15,6,(ROW($D$6:$D$150)-ROW($D$6)+1)/($E$6:$E$150="Knives"),ROWS(R$6:R52))),"")</f>
        <v/>
      </c>
      <c r="T52" s="6" t="str">
        <f>IFERROR(INDEX($D$6:$D$150,_xlfn.AGGREGATE(15,6,(ROW($D$6:$D$150)-ROW($D$6)+1)/($E$6:$E$150="Tools"),ROWS(R$6:R52))),"")</f>
        <v/>
      </c>
      <c r="U52" s="6" t="str">
        <f>IFERROR(INDEX($D$6:$D$150,_xlfn.AGGREGATE(15,6,(ROW($D$6:$D$150)-ROW($D$6)+1)/($E$6:$E$150="Tools NC"),ROWS(R$6:R52))),"")</f>
        <v/>
      </c>
      <c r="V52"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52"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52" s="6"/>
    </row>
    <row r="53" spans="2:24" x14ac:dyDescent="0.25">
      <c r="B53" s="183"/>
      <c r="C53" s="188"/>
      <c r="D53" s="185"/>
      <c r="E53" s="186"/>
      <c r="F53" s="187"/>
      <c r="G53" s="186"/>
      <c r="H53" s="187"/>
      <c r="I53" s="186"/>
      <c r="J53" s="231" t="s">
        <v>318</v>
      </c>
      <c r="S53" s="6" t="str">
        <f>IFERROR(INDEX($D$6:$D$150,_xlfn.AGGREGATE(15,6,(ROW($D$6:$D$150)-ROW($D$6)+1)/($E$6:$E$150="Knives"),ROWS(R$6:R53))),"")</f>
        <v/>
      </c>
      <c r="T53" s="6" t="str">
        <f>IFERROR(INDEX($D$6:$D$150,_xlfn.AGGREGATE(15,6,(ROW($D$6:$D$150)-ROW($D$6)+1)/($E$6:$E$150="Tools"),ROWS(R$6:R53))),"")</f>
        <v/>
      </c>
      <c r="U53" s="6" t="str">
        <f>IFERROR(INDEX($D$6:$D$150,_xlfn.AGGREGATE(15,6,(ROW($D$6:$D$150)-ROW($D$6)+1)/($E$6:$E$150="Tools NC"),ROWS(R$6:R53))),"")</f>
        <v/>
      </c>
      <c r="V53"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53"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53" s="6"/>
    </row>
    <row r="54" spans="2:24" x14ac:dyDescent="0.25">
      <c r="B54" s="183"/>
      <c r="C54" s="188"/>
      <c r="D54" s="185"/>
      <c r="E54" s="186"/>
      <c r="F54" s="187"/>
      <c r="G54" s="186"/>
      <c r="H54" s="187"/>
      <c r="I54" s="186"/>
      <c r="J54" s="231" t="s">
        <v>255</v>
      </c>
      <c r="S54" s="6" t="str">
        <f>IFERROR(INDEX($D$6:$D$150,_xlfn.AGGREGATE(15,6,(ROW($D$6:$D$150)-ROW($D$6)+1)/($E$6:$E$150="Knives"),ROWS(R$6:R54))),"")</f>
        <v/>
      </c>
      <c r="T54" s="6" t="str">
        <f>IFERROR(INDEX($D$6:$D$150,_xlfn.AGGREGATE(15,6,(ROW($D$6:$D$150)-ROW($D$6)+1)/($E$6:$E$150="Tools"),ROWS(R$6:R54))),"")</f>
        <v/>
      </c>
      <c r="U54" s="6" t="str">
        <f>IFERROR(INDEX($D$6:$D$150,_xlfn.AGGREGATE(15,6,(ROW($D$6:$D$150)-ROW($D$6)+1)/($E$6:$E$150="Tools NC"),ROWS(R$6:R54))),"")</f>
        <v/>
      </c>
      <c r="V54"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54"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54" s="6"/>
    </row>
    <row r="55" spans="2:24" x14ac:dyDescent="0.25">
      <c r="B55" s="183"/>
      <c r="C55" s="188"/>
      <c r="D55" s="185"/>
      <c r="E55" s="186"/>
      <c r="F55" s="187"/>
      <c r="G55" s="186"/>
      <c r="H55" s="187"/>
      <c r="I55" s="186"/>
      <c r="J55" s="231" t="s">
        <v>249</v>
      </c>
      <c r="S55" s="6" t="str">
        <f>IFERROR(INDEX($D$6:$D$150,_xlfn.AGGREGATE(15,6,(ROW($D$6:$D$150)-ROW($D$6)+1)/($E$6:$E$150="Knives"),ROWS(R$6:R55))),"")</f>
        <v/>
      </c>
      <c r="T55" s="6" t="str">
        <f>IFERROR(INDEX($D$6:$D$150,_xlfn.AGGREGATE(15,6,(ROW($D$6:$D$150)-ROW($D$6)+1)/($E$6:$E$150="Tools"),ROWS(R$6:R55))),"")</f>
        <v/>
      </c>
      <c r="U55" s="6" t="str">
        <f>IFERROR(INDEX($D$6:$D$150,_xlfn.AGGREGATE(15,6,(ROW($D$6:$D$150)-ROW($D$6)+1)/($E$6:$E$150="Tools NC"),ROWS(R$6:R55))),"")</f>
        <v/>
      </c>
      <c r="V55" s="6" t="str">
        <f ca="1">IF(ROW()&gt;=(ROW()-COUNTIF(JigListsTable[[#This Row],[JigsToolsDL]]:INDIRECT(ADDRESS(ROW(JigListsTable[JigsToolsDL])-1+ROWS(JigListsTable[JigsToolsDL]),COLUMN(JigListsTable[JigsToolsDL]))),"?*")+1),INDEX(JigListsTable[JigsToolsDL],ROW()-ROW(JigListsTable[#Headers])),IF(ROW()&gt;ROW(JigListsTable[#Headers])+COUNTIF(JigListsTable[[JigsToolsDL]:[JigsToolsNC]],"?*"),"", INDEX(JigListsTable[JigsToolsNC],ROW()-ROW(JigListsTable[#Headers])-COUNTIF(JigListsTable[JigsToolsDL],"?*"))))</f>
        <v/>
      </c>
      <c r="W55" s="182" t="str">
        <f ca="1">IF(ROW()&gt;=(ROW()-COUNTIF(JigListsTable[[#This Row],[JigsKnivesDL]]:INDIRECT(ADDRESS(ROW(JigListsTable[JigsKnivesDL])-1+ROWS(JigListsTable[JigsKnivesDL]),COLUMN(JigListsTable[JigsKnivesDL]))),"?*")+1),INDEX(JigListsTable[JigsKnivesDL],ROW()-ROW(JigListsTable[#Headers])),IF(ROW()&gt;ROW(JigListsTable[#Headers])+COUNTIF(JigListsTable[[JigsKnivesDL]:[JigsToolsDL]],"?*"),"", INDEX(JigListsTable[JigsToolsDL],ROW()-ROW(JigListsTable[#Headers])-COUNTIF(JigListsTable[JigsKnivesDL],"?*"))))</f>
        <v/>
      </c>
      <c r="X55" s="6"/>
    </row>
    <row r="56" spans="2:24" x14ac:dyDescent="0.25">
      <c r="B56" s="183"/>
      <c r="C56" s="188"/>
      <c r="D56" s="185"/>
      <c r="E56" s="186"/>
      <c r="F56" s="187"/>
      <c r="G56" s="186"/>
      <c r="H56" s="187"/>
      <c r="I56" s="186"/>
      <c r="J56" s="231"/>
      <c r="S56" s="6"/>
      <c r="T56" s="6"/>
      <c r="U56" s="6"/>
      <c r="V56" s="6"/>
      <c r="W56" s="6"/>
    </row>
    <row r="57" spans="2:24" x14ac:dyDescent="0.25">
      <c r="B57" s="183"/>
      <c r="C57" s="188"/>
      <c r="D57" s="185"/>
      <c r="E57" s="186"/>
      <c r="F57" s="187"/>
      <c r="G57" s="186"/>
      <c r="H57" s="187"/>
      <c r="I57" s="186"/>
      <c r="J57" s="231"/>
      <c r="S57" s="6"/>
      <c r="T57" s="6"/>
      <c r="U57" s="6"/>
      <c r="W57" s="6"/>
    </row>
    <row r="58" spans="2:24" x14ac:dyDescent="0.25">
      <c r="B58" s="183"/>
      <c r="C58" s="188"/>
      <c r="D58" s="185"/>
      <c r="E58" s="186"/>
      <c r="F58" s="187"/>
      <c r="G58" s="186"/>
      <c r="H58" s="187"/>
      <c r="I58" s="186"/>
      <c r="J58" s="231"/>
      <c r="S58" s="6"/>
      <c r="T58" s="6"/>
      <c r="U58" s="6"/>
      <c r="W58" s="6"/>
    </row>
    <row r="59" spans="2:24" x14ac:dyDescent="0.25">
      <c r="B59" s="183"/>
      <c r="C59" s="188"/>
      <c r="D59" s="185"/>
      <c r="E59" s="186"/>
      <c r="F59" s="187"/>
      <c r="G59" s="186"/>
      <c r="H59" s="187"/>
      <c r="I59" s="186"/>
      <c r="J59" s="231"/>
      <c r="S59" s="6"/>
      <c r="T59" s="6"/>
      <c r="U59" s="6"/>
      <c r="W59" s="6"/>
    </row>
    <row r="60" spans="2:24" x14ac:dyDescent="0.25">
      <c r="B60" s="183">
        <v>9</v>
      </c>
      <c r="C60" s="188" t="s">
        <v>209</v>
      </c>
      <c r="D60" s="185" t="s">
        <v>254</v>
      </c>
      <c r="E60" s="186" t="s">
        <v>138</v>
      </c>
      <c r="F60" s="187"/>
      <c r="G60" s="186"/>
      <c r="H60" s="187">
        <v>0</v>
      </c>
      <c r="I60" s="186"/>
      <c r="J60" s="231" t="s">
        <v>257</v>
      </c>
      <c r="S60" s="6"/>
      <c r="T60" s="6"/>
      <c r="U60" s="6"/>
      <c r="W60" s="6"/>
    </row>
    <row r="61" spans="2:24" x14ac:dyDescent="0.25">
      <c r="B61" s="183"/>
      <c r="C61" s="188"/>
      <c r="D61" s="185"/>
      <c r="E61" s="186"/>
      <c r="F61" s="187"/>
      <c r="G61" s="186"/>
      <c r="H61" s="187"/>
      <c r="I61" s="186"/>
      <c r="J61" s="231" t="s">
        <v>258</v>
      </c>
      <c r="S61" s="6"/>
      <c r="T61" s="6"/>
      <c r="W61" s="6"/>
    </row>
    <row r="62" spans="2:24" x14ac:dyDescent="0.25">
      <c r="B62" s="183"/>
      <c r="C62" s="188"/>
      <c r="D62" s="185"/>
      <c r="E62" s="186"/>
      <c r="F62" s="187"/>
      <c r="G62" s="186"/>
      <c r="H62" s="187"/>
      <c r="I62" s="186"/>
      <c r="J62" s="231" t="s">
        <v>323</v>
      </c>
      <c r="S62" s="6"/>
      <c r="T62" s="6"/>
      <c r="W62" s="6"/>
    </row>
    <row r="63" spans="2:24" x14ac:dyDescent="0.25">
      <c r="B63" s="183"/>
      <c r="C63" s="189"/>
      <c r="D63" s="185"/>
      <c r="E63" s="186"/>
      <c r="F63" s="187"/>
      <c r="G63" s="186"/>
      <c r="H63" s="187"/>
      <c r="I63" s="186"/>
      <c r="J63" s="231" t="s">
        <v>318</v>
      </c>
      <c r="S63" s="6"/>
      <c r="T63" s="6"/>
      <c r="W63" s="6"/>
    </row>
    <row r="64" spans="2:24" x14ac:dyDescent="0.25">
      <c r="B64" s="183"/>
      <c r="C64" s="188"/>
      <c r="D64" s="185"/>
      <c r="E64" s="186"/>
      <c r="F64" s="187"/>
      <c r="G64" s="186"/>
      <c r="H64" s="187"/>
      <c r="I64" s="186"/>
      <c r="J64" s="231" t="s">
        <v>255</v>
      </c>
      <c r="S64" s="6"/>
      <c r="T64" s="6"/>
      <c r="W64" s="6"/>
    </row>
    <row r="65" spans="2:23" x14ac:dyDescent="0.25">
      <c r="B65" s="183"/>
      <c r="C65" s="188"/>
      <c r="D65" s="185"/>
      <c r="E65" s="186"/>
      <c r="F65" s="187"/>
      <c r="G65" s="186"/>
      <c r="H65" s="187"/>
      <c r="I65" s="186"/>
      <c r="J65" s="231" t="s">
        <v>249</v>
      </c>
      <c r="S65" s="6"/>
      <c r="T65" s="6"/>
      <c r="W65" s="6"/>
    </row>
    <row r="66" spans="2:23" x14ac:dyDescent="0.25">
      <c r="B66" s="183"/>
      <c r="C66" s="188"/>
      <c r="D66" s="185"/>
      <c r="E66" s="186"/>
      <c r="F66" s="187"/>
      <c r="G66" s="186"/>
      <c r="H66" s="187"/>
      <c r="I66" s="186"/>
      <c r="J66" s="231"/>
      <c r="S66" s="6"/>
      <c r="T66" s="6"/>
    </row>
    <row r="67" spans="2:23" x14ac:dyDescent="0.25">
      <c r="B67" s="183"/>
      <c r="C67" s="188"/>
      <c r="D67" s="185"/>
      <c r="E67" s="186"/>
      <c r="F67" s="187"/>
      <c r="G67" s="186"/>
      <c r="H67" s="187"/>
      <c r="I67" s="186"/>
      <c r="J67" s="231"/>
      <c r="S67" s="6"/>
      <c r="T67" s="6"/>
    </row>
    <row r="68" spans="2:23" x14ac:dyDescent="0.25">
      <c r="B68" s="183"/>
      <c r="C68" s="188"/>
      <c r="D68" s="185"/>
      <c r="E68" s="186"/>
      <c r="F68" s="187"/>
      <c r="G68" s="186"/>
      <c r="H68" s="187"/>
      <c r="I68" s="186"/>
      <c r="J68" s="231"/>
      <c r="S68" s="6"/>
      <c r="T68" s="6"/>
    </row>
    <row r="69" spans="2:23" x14ac:dyDescent="0.25">
      <c r="B69" s="183">
        <v>10</v>
      </c>
      <c r="C69" s="188" t="s">
        <v>89</v>
      </c>
      <c r="D69" s="185" t="s">
        <v>88</v>
      </c>
      <c r="E69" s="186" t="s">
        <v>138</v>
      </c>
      <c r="F69" s="187"/>
      <c r="G69" s="186"/>
      <c r="H69" s="187">
        <f>15+VariableUSBDia/2</f>
        <v>21</v>
      </c>
      <c r="I69" s="186"/>
      <c r="J69" s="231" t="s">
        <v>257</v>
      </c>
      <c r="S69" s="6"/>
      <c r="T69" s="6"/>
    </row>
    <row r="70" spans="2:23" x14ac:dyDescent="0.25">
      <c r="B70" s="183"/>
      <c r="C70" s="188"/>
      <c r="D70" s="185"/>
      <c r="E70" s="186"/>
      <c r="F70" s="187"/>
      <c r="G70" s="186"/>
      <c r="H70" s="187"/>
      <c r="I70" s="186"/>
      <c r="J70" s="231" t="s">
        <v>258</v>
      </c>
      <c r="S70" s="6"/>
      <c r="T70" s="6"/>
    </row>
    <row r="71" spans="2:23" x14ac:dyDescent="0.25">
      <c r="B71" s="183"/>
      <c r="C71" s="188"/>
      <c r="D71" s="185"/>
      <c r="E71" s="186"/>
      <c r="F71" s="187"/>
      <c r="G71" s="186"/>
      <c r="H71" s="187"/>
      <c r="I71" s="186"/>
      <c r="J71" s="231" t="s">
        <v>324</v>
      </c>
      <c r="S71" s="6"/>
      <c r="T71" s="6"/>
    </row>
    <row r="72" spans="2:23" x14ac:dyDescent="0.25">
      <c r="B72" s="183"/>
      <c r="C72" s="188"/>
      <c r="D72" s="185"/>
      <c r="E72" s="186"/>
      <c r="F72" s="187"/>
      <c r="G72" s="186"/>
      <c r="H72" s="187"/>
      <c r="I72" s="186"/>
      <c r="J72" s="231" t="s">
        <v>285</v>
      </c>
      <c r="S72" s="6"/>
      <c r="T72" s="6"/>
    </row>
    <row r="73" spans="2:23" x14ac:dyDescent="0.25">
      <c r="B73" s="183"/>
      <c r="C73" s="188"/>
      <c r="D73" s="185"/>
      <c r="E73" s="186"/>
      <c r="F73" s="187"/>
      <c r="G73" s="186"/>
      <c r="H73" s="187"/>
      <c r="I73" s="186"/>
      <c r="J73" s="231"/>
      <c r="S73" s="6"/>
      <c r="T73" s="6"/>
    </row>
    <row r="74" spans="2:23" x14ac:dyDescent="0.25">
      <c r="B74" s="183"/>
      <c r="C74" s="188"/>
      <c r="D74" s="185"/>
      <c r="E74" s="186"/>
      <c r="F74" s="187"/>
      <c r="G74" s="186"/>
      <c r="H74" s="187"/>
      <c r="I74" s="186"/>
      <c r="J74" s="231"/>
      <c r="S74" s="6"/>
      <c r="T74" s="6"/>
    </row>
    <row r="75" spans="2:23" x14ac:dyDescent="0.25">
      <c r="B75" s="183"/>
      <c r="C75" s="188"/>
      <c r="D75" s="185"/>
      <c r="E75" s="186"/>
      <c r="F75" s="187"/>
      <c r="G75" s="186"/>
      <c r="H75" s="187"/>
      <c r="I75" s="186"/>
      <c r="J75" s="231"/>
      <c r="S75" s="6"/>
      <c r="T75" s="6"/>
    </row>
    <row r="76" spans="2:23" x14ac:dyDescent="0.25">
      <c r="B76" s="183"/>
      <c r="C76" s="188"/>
      <c r="D76" s="185"/>
      <c r="E76" s="186"/>
      <c r="F76" s="187"/>
      <c r="G76" s="186"/>
      <c r="H76" s="187"/>
      <c r="I76" s="186"/>
      <c r="J76" s="231"/>
      <c r="S76" s="6"/>
      <c r="T76" s="6"/>
    </row>
    <row r="77" spans="2:23" x14ac:dyDescent="0.25">
      <c r="B77" s="183"/>
      <c r="C77" s="188"/>
      <c r="D77" s="185"/>
      <c r="E77" s="186"/>
      <c r="F77" s="187"/>
      <c r="G77" s="186"/>
      <c r="H77" s="187"/>
      <c r="I77" s="186"/>
      <c r="J77" s="231"/>
      <c r="S77" s="6"/>
      <c r="T77" s="6"/>
    </row>
    <row r="78" spans="2:23" x14ac:dyDescent="0.25">
      <c r="B78" s="183">
        <v>11</v>
      </c>
      <c r="C78" s="188" t="s">
        <v>91</v>
      </c>
      <c r="D78" s="185" t="s">
        <v>90</v>
      </c>
      <c r="E78" s="186" t="s">
        <v>138</v>
      </c>
      <c r="F78" s="187"/>
      <c r="G78" s="186"/>
      <c r="H78" s="187">
        <v>0</v>
      </c>
      <c r="I78" s="186"/>
      <c r="J78" s="231" t="s">
        <v>143</v>
      </c>
      <c r="S78" s="6"/>
      <c r="T78" s="6"/>
    </row>
    <row r="79" spans="2:23" x14ac:dyDescent="0.25">
      <c r="B79" s="183"/>
      <c r="C79" s="188"/>
      <c r="D79" s="185"/>
      <c r="E79" s="186"/>
      <c r="F79" s="187"/>
      <c r="G79" s="186"/>
      <c r="H79" s="187"/>
      <c r="I79" s="186"/>
      <c r="J79" s="231" t="s">
        <v>246</v>
      </c>
      <c r="S79" s="6"/>
      <c r="T79" s="6"/>
    </row>
    <row r="80" spans="2:23" x14ac:dyDescent="0.25">
      <c r="B80" s="183"/>
      <c r="C80" s="188"/>
      <c r="D80" s="185"/>
      <c r="E80" s="186"/>
      <c r="F80" s="187"/>
      <c r="G80" s="186"/>
      <c r="H80" s="187"/>
      <c r="I80" s="186"/>
      <c r="J80" s="231" t="s">
        <v>251</v>
      </c>
      <c r="S80" s="6"/>
      <c r="T80" s="6"/>
    </row>
    <row r="81" spans="2:20" x14ac:dyDescent="0.25">
      <c r="B81" s="183"/>
      <c r="C81" s="188"/>
      <c r="D81" s="185"/>
      <c r="E81" s="186"/>
      <c r="F81" s="187"/>
      <c r="G81" s="186"/>
      <c r="H81" s="187"/>
      <c r="I81" s="186"/>
      <c r="J81" s="231"/>
      <c r="S81" s="6"/>
      <c r="T81" s="6"/>
    </row>
    <row r="82" spans="2:20" x14ac:dyDescent="0.25">
      <c r="B82" s="183"/>
      <c r="C82" s="188"/>
      <c r="D82" s="185"/>
      <c r="E82" s="186"/>
      <c r="F82" s="187"/>
      <c r="G82" s="186"/>
      <c r="H82" s="187"/>
      <c r="I82" s="186"/>
      <c r="J82" s="231"/>
      <c r="S82" s="6"/>
      <c r="T82" s="6"/>
    </row>
    <row r="83" spans="2:20" x14ac:dyDescent="0.25">
      <c r="B83" s="183"/>
      <c r="C83" s="189"/>
      <c r="D83" s="185"/>
      <c r="E83" s="186"/>
      <c r="F83" s="187"/>
      <c r="G83" s="186"/>
      <c r="H83" s="187"/>
      <c r="I83" s="186"/>
      <c r="J83" s="231"/>
      <c r="S83" s="6"/>
      <c r="T83" s="6"/>
    </row>
    <row r="84" spans="2:20" x14ac:dyDescent="0.25">
      <c r="B84" s="183"/>
      <c r="C84" s="188"/>
      <c r="D84" s="185"/>
      <c r="E84" s="186"/>
      <c r="F84" s="187"/>
      <c r="G84" s="186"/>
      <c r="H84" s="187"/>
      <c r="I84" s="186"/>
      <c r="J84" s="231"/>
      <c r="S84" s="6"/>
      <c r="T84" s="6"/>
    </row>
    <row r="85" spans="2:20" x14ac:dyDescent="0.25">
      <c r="B85" s="183">
        <v>12</v>
      </c>
      <c r="C85" s="188" t="s">
        <v>93</v>
      </c>
      <c r="D85" s="185" t="s">
        <v>92</v>
      </c>
      <c r="E85" s="186" t="s">
        <v>138</v>
      </c>
      <c r="F85" s="187"/>
      <c r="G85" s="186"/>
      <c r="H85" s="187">
        <v>0</v>
      </c>
      <c r="I85" s="186"/>
      <c r="J85" s="231" t="s">
        <v>143</v>
      </c>
      <c r="S85" s="6"/>
      <c r="T85" s="6"/>
    </row>
    <row r="86" spans="2:20" x14ac:dyDescent="0.25">
      <c r="B86" s="183"/>
      <c r="C86" s="188"/>
      <c r="D86" s="185"/>
      <c r="E86" s="186"/>
      <c r="F86" s="187"/>
      <c r="G86" s="186"/>
      <c r="H86" s="187"/>
      <c r="I86" s="186"/>
      <c r="J86" s="231"/>
      <c r="S86" s="6"/>
      <c r="T86" s="6"/>
    </row>
    <row r="87" spans="2:20" x14ac:dyDescent="0.25">
      <c r="B87" s="183"/>
      <c r="C87" s="188"/>
      <c r="D87" s="185"/>
      <c r="E87" s="186"/>
      <c r="F87" s="187"/>
      <c r="G87" s="186"/>
      <c r="H87" s="187"/>
      <c r="I87" s="186"/>
      <c r="J87" s="231"/>
      <c r="S87" s="6"/>
      <c r="T87" s="6"/>
    </row>
    <row r="88" spans="2:20" x14ac:dyDescent="0.25">
      <c r="B88" s="183"/>
      <c r="C88" s="188"/>
      <c r="D88" s="185"/>
      <c r="E88" s="186"/>
      <c r="F88" s="187"/>
      <c r="G88" s="186"/>
      <c r="H88" s="187"/>
      <c r="I88" s="186"/>
      <c r="J88" s="231"/>
      <c r="S88" s="6"/>
      <c r="T88" s="6"/>
    </row>
    <row r="89" spans="2:20" x14ac:dyDescent="0.25">
      <c r="B89" s="183"/>
      <c r="C89" s="188"/>
      <c r="D89" s="185"/>
      <c r="E89" s="186"/>
      <c r="F89" s="187"/>
      <c r="G89" s="186"/>
      <c r="H89" s="187"/>
      <c r="I89" s="186"/>
      <c r="J89" s="231"/>
      <c r="S89" s="6"/>
      <c r="T89" s="6"/>
    </row>
    <row r="90" spans="2:20" x14ac:dyDescent="0.25">
      <c r="B90" s="183"/>
      <c r="C90" s="188"/>
      <c r="D90" s="185"/>
      <c r="E90" s="186"/>
      <c r="F90" s="187"/>
      <c r="G90" s="186"/>
      <c r="H90" s="187"/>
      <c r="I90" s="186"/>
      <c r="J90" s="231"/>
      <c r="S90" s="6"/>
      <c r="T90" s="6"/>
    </row>
    <row r="91" spans="2:20" x14ac:dyDescent="0.25">
      <c r="B91" s="183"/>
      <c r="C91" s="188"/>
      <c r="D91" s="185"/>
      <c r="E91" s="186"/>
      <c r="F91" s="187"/>
      <c r="G91" s="186"/>
      <c r="H91" s="187"/>
      <c r="I91" s="186"/>
      <c r="J91" s="231"/>
      <c r="S91" s="6"/>
      <c r="T91" s="6"/>
    </row>
    <row r="92" spans="2:20" x14ac:dyDescent="0.25">
      <c r="B92" s="183">
        <v>13</v>
      </c>
      <c r="C92" s="188" t="s">
        <v>210</v>
      </c>
      <c r="D92" s="185" t="s">
        <v>139</v>
      </c>
      <c r="E92" s="186" t="s">
        <v>140</v>
      </c>
      <c r="F92" s="187"/>
      <c r="G92" s="186"/>
      <c r="H92" s="187"/>
      <c r="I92" s="186"/>
      <c r="J92" s="231" t="s">
        <v>146</v>
      </c>
      <c r="S92" s="6"/>
      <c r="T92" s="6"/>
    </row>
    <row r="93" spans="2:20" x14ac:dyDescent="0.25">
      <c r="B93" s="183"/>
      <c r="C93" s="188"/>
      <c r="D93" s="185"/>
      <c r="E93" s="186"/>
      <c r="F93" s="187"/>
      <c r="G93" s="186"/>
      <c r="H93" s="187"/>
      <c r="I93" s="186"/>
      <c r="J93" s="231" t="s">
        <v>247</v>
      </c>
      <c r="S93" s="6"/>
      <c r="T93" s="6"/>
    </row>
    <row r="94" spans="2:20" x14ac:dyDescent="0.25">
      <c r="B94" s="183"/>
      <c r="C94" s="188"/>
      <c r="D94" s="185"/>
      <c r="E94" s="186"/>
      <c r="F94" s="187"/>
      <c r="G94" s="186"/>
      <c r="H94" s="187"/>
      <c r="I94" s="186"/>
      <c r="J94" s="231"/>
      <c r="S94" s="6"/>
      <c r="T94" s="6"/>
    </row>
    <row r="95" spans="2:20" x14ac:dyDescent="0.25">
      <c r="B95" s="183"/>
      <c r="C95" s="188"/>
      <c r="D95" s="185"/>
      <c r="E95" s="186"/>
      <c r="F95" s="187"/>
      <c r="G95" s="186"/>
      <c r="H95" s="187"/>
      <c r="I95" s="186"/>
      <c r="J95" s="231"/>
      <c r="S95" s="6"/>
      <c r="T95" s="6"/>
    </row>
    <row r="96" spans="2:20" x14ac:dyDescent="0.25">
      <c r="B96" s="183"/>
      <c r="C96" s="188"/>
      <c r="D96" s="185"/>
      <c r="E96" s="186"/>
      <c r="F96" s="187"/>
      <c r="G96" s="186"/>
      <c r="H96" s="187"/>
      <c r="I96" s="186"/>
      <c r="J96" s="231"/>
      <c r="S96" s="6"/>
      <c r="T96" s="6"/>
    </row>
    <row r="97" spans="2:20" x14ac:dyDescent="0.25">
      <c r="B97" s="183"/>
      <c r="C97" s="188"/>
      <c r="D97" s="185"/>
      <c r="E97" s="186"/>
      <c r="F97" s="187"/>
      <c r="G97" s="186"/>
      <c r="H97" s="187"/>
      <c r="I97" s="186"/>
      <c r="J97" s="231"/>
      <c r="S97" s="6"/>
      <c r="T97" s="6"/>
    </row>
    <row r="98" spans="2:20" x14ac:dyDescent="0.25">
      <c r="B98" s="183">
        <v>14</v>
      </c>
      <c r="C98" s="188" t="s">
        <v>211</v>
      </c>
      <c r="D98" s="185" t="s">
        <v>141</v>
      </c>
      <c r="E98" s="186" t="s">
        <v>142</v>
      </c>
      <c r="F98" s="187"/>
      <c r="G98" s="186"/>
      <c r="H98" s="187"/>
      <c r="I98" s="186"/>
      <c r="J98" s="231" t="s">
        <v>146</v>
      </c>
      <c r="S98" s="6"/>
      <c r="T98" s="6"/>
    </row>
    <row r="99" spans="2:20" x14ac:dyDescent="0.25">
      <c r="B99" s="183"/>
      <c r="C99" s="188"/>
      <c r="D99" s="186"/>
      <c r="E99" s="186"/>
      <c r="F99" s="187"/>
      <c r="G99" s="186"/>
      <c r="H99" s="187"/>
      <c r="I99" s="186"/>
      <c r="J99" s="231" t="s">
        <v>247</v>
      </c>
      <c r="S99" s="6"/>
      <c r="T99" s="6"/>
    </row>
    <row r="100" spans="2:20" x14ac:dyDescent="0.25">
      <c r="B100" s="183"/>
      <c r="C100" s="188"/>
      <c r="D100" s="185"/>
      <c r="E100" s="186"/>
      <c r="F100" s="187"/>
      <c r="G100" s="186"/>
      <c r="H100" s="187"/>
      <c r="I100" s="186"/>
      <c r="J100" s="231"/>
      <c r="S100" s="6"/>
      <c r="T100" s="6"/>
    </row>
    <row r="101" spans="2:20" x14ac:dyDescent="0.25">
      <c r="B101" s="183"/>
      <c r="C101" s="188"/>
      <c r="D101" s="185"/>
      <c r="E101" s="186"/>
      <c r="F101" s="187"/>
      <c r="G101" s="186"/>
      <c r="H101" s="187"/>
      <c r="I101" s="186"/>
      <c r="J101" s="231"/>
      <c r="S101" s="6"/>
      <c r="T101" s="6"/>
    </row>
    <row r="102" spans="2:20" x14ac:dyDescent="0.25">
      <c r="B102" s="183"/>
      <c r="C102" s="188"/>
      <c r="D102" s="185"/>
      <c r="E102" s="186"/>
      <c r="F102" s="187"/>
      <c r="G102" s="186"/>
      <c r="H102" s="187"/>
      <c r="I102" s="186"/>
      <c r="J102" s="231"/>
      <c r="S102" s="6"/>
      <c r="T102" s="6"/>
    </row>
    <row r="103" spans="2:20" x14ac:dyDescent="0.25">
      <c r="B103" s="183"/>
      <c r="C103" s="188"/>
      <c r="D103" s="185"/>
      <c r="E103" s="186"/>
      <c r="F103" s="187"/>
      <c r="G103" s="186"/>
      <c r="H103" s="187"/>
      <c r="I103" s="186"/>
      <c r="J103" s="231"/>
      <c r="S103" s="6"/>
      <c r="T103" s="6"/>
    </row>
    <row r="104" spans="2:20" x14ac:dyDescent="0.25">
      <c r="B104" s="183"/>
      <c r="C104" s="188"/>
      <c r="D104" s="185"/>
      <c r="E104" s="186"/>
      <c r="F104" s="187"/>
      <c r="G104" s="186"/>
      <c r="H104" s="187"/>
      <c r="I104" s="186"/>
      <c r="J104" s="231"/>
      <c r="S104" s="6"/>
      <c r="T104" s="6"/>
    </row>
    <row r="105" spans="2:20" x14ac:dyDescent="0.25">
      <c r="B105" s="183"/>
      <c r="C105" s="188"/>
      <c r="D105" s="185"/>
      <c r="E105" s="186"/>
      <c r="F105" s="187"/>
      <c r="G105" s="186"/>
      <c r="H105" s="187"/>
      <c r="I105" s="186"/>
      <c r="J105" s="231"/>
      <c r="S105" s="6"/>
      <c r="T105" s="6"/>
    </row>
    <row r="106" spans="2:20" x14ac:dyDescent="0.25">
      <c r="B106" s="183"/>
      <c r="C106" s="188"/>
      <c r="D106" s="185"/>
      <c r="E106" s="186"/>
      <c r="F106" s="187"/>
      <c r="G106" s="186"/>
      <c r="H106" s="187"/>
      <c r="I106" s="186"/>
      <c r="J106" s="231"/>
      <c r="S106" s="6"/>
      <c r="T106" s="6"/>
    </row>
    <row r="107" spans="2:20" x14ac:dyDescent="0.25">
      <c r="B107" s="183"/>
      <c r="C107" s="188"/>
      <c r="D107" s="185"/>
      <c r="E107" s="186"/>
      <c r="F107" s="187"/>
      <c r="G107" s="186"/>
      <c r="H107" s="187"/>
      <c r="I107" s="186"/>
      <c r="J107" s="231"/>
      <c r="S107" s="6"/>
      <c r="T107" s="6"/>
    </row>
    <row r="108" spans="2:20" x14ac:dyDescent="0.25">
      <c r="B108" s="183"/>
      <c r="C108" s="188"/>
      <c r="D108" s="185"/>
      <c r="E108" s="186"/>
      <c r="F108" s="187"/>
      <c r="G108" s="186"/>
      <c r="H108" s="187"/>
      <c r="I108" s="186"/>
      <c r="J108" s="231"/>
      <c r="S108" s="6"/>
      <c r="T108" s="6"/>
    </row>
    <row r="109" spans="2:20" x14ac:dyDescent="0.25">
      <c r="B109" s="183"/>
      <c r="C109" s="188"/>
      <c r="D109" s="185"/>
      <c r="E109" s="186"/>
      <c r="F109" s="187"/>
      <c r="G109" s="186"/>
      <c r="H109" s="187"/>
      <c r="I109" s="186"/>
      <c r="J109" s="231"/>
      <c r="S109" s="6"/>
      <c r="T109" s="6"/>
    </row>
    <row r="110" spans="2:20" x14ac:dyDescent="0.25">
      <c r="B110" s="183"/>
      <c r="C110" s="188"/>
      <c r="D110" s="186"/>
      <c r="E110" s="186"/>
      <c r="F110" s="187"/>
      <c r="G110" s="186"/>
      <c r="H110" s="187"/>
      <c r="I110" s="186"/>
      <c r="J110" s="231"/>
      <c r="S110" s="6"/>
      <c r="T110" s="6"/>
    </row>
    <row r="111" spans="2:20" x14ac:dyDescent="0.25">
      <c r="B111" s="183"/>
      <c r="C111" s="188"/>
      <c r="D111" s="186"/>
      <c r="E111" s="186"/>
      <c r="F111" s="187"/>
      <c r="G111" s="186"/>
      <c r="H111" s="187"/>
      <c r="I111" s="186"/>
      <c r="J111" s="231"/>
      <c r="S111" s="6"/>
      <c r="T111" s="6"/>
    </row>
    <row r="112" spans="2:20" x14ac:dyDescent="0.25">
      <c r="B112" s="183"/>
      <c r="C112" s="188"/>
      <c r="D112" s="185"/>
      <c r="E112" s="186"/>
      <c r="F112" s="187"/>
      <c r="G112" s="186"/>
      <c r="H112" s="187"/>
      <c r="I112" s="186"/>
      <c r="J112" s="231"/>
      <c r="S112" s="6"/>
      <c r="T112" s="6"/>
    </row>
    <row r="113" spans="2:20" x14ac:dyDescent="0.25">
      <c r="B113" s="183"/>
      <c r="C113" s="188"/>
      <c r="D113" s="185"/>
      <c r="E113" s="186"/>
      <c r="F113" s="187"/>
      <c r="G113" s="186"/>
      <c r="H113" s="187"/>
      <c r="I113" s="186"/>
      <c r="J113" s="231"/>
      <c r="S113" s="6"/>
      <c r="T113" s="6"/>
    </row>
    <row r="114" spans="2:20" x14ac:dyDescent="0.25">
      <c r="B114" s="183"/>
      <c r="C114" s="188"/>
      <c r="D114" s="185"/>
      <c r="E114" s="186"/>
      <c r="F114" s="187"/>
      <c r="G114" s="186"/>
      <c r="H114" s="187"/>
      <c r="I114" s="186"/>
      <c r="J114" s="231"/>
      <c r="S114" s="6"/>
      <c r="T114" s="6"/>
    </row>
    <row r="115" spans="2:20" x14ac:dyDescent="0.25">
      <c r="B115" s="183"/>
      <c r="C115" s="188"/>
      <c r="D115" s="185"/>
      <c r="E115" s="186"/>
      <c r="F115" s="187"/>
      <c r="G115" s="186"/>
      <c r="H115" s="187"/>
      <c r="I115" s="186"/>
      <c r="J115" s="231"/>
      <c r="S115" s="6"/>
      <c r="T115" s="6"/>
    </row>
    <row r="116" spans="2:20" x14ac:dyDescent="0.25">
      <c r="B116" s="183"/>
      <c r="C116" s="188"/>
      <c r="D116" s="185"/>
      <c r="E116" s="186"/>
      <c r="F116" s="187"/>
      <c r="G116" s="186"/>
      <c r="H116" s="187"/>
      <c r="I116" s="186"/>
      <c r="J116" s="231"/>
      <c r="S116" s="6"/>
      <c r="T116" s="6"/>
    </row>
    <row r="117" spans="2:20" x14ac:dyDescent="0.25">
      <c r="B117" s="183"/>
      <c r="C117" s="188"/>
      <c r="D117" s="185"/>
      <c r="E117" s="186"/>
      <c r="F117" s="187"/>
      <c r="G117" s="186"/>
      <c r="H117" s="187"/>
      <c r="I117" s="186"/>
      <c r="J117" s="231"/>
      <c r="S117" s="6"/>
      <c r="T117" s="6"/>
    </row>
    <row r="118" spans="2:20" x14ac:dyDescent="0.25">
      <c r="B118" s="183"/>
      <c r="C118" s="189"/>
      <c r="D118" s="185"/>
      <c r="E118" s="186"/>
      <c r="F118" s="187"/>
      <c r="G118" s="186"/>
      <c r="H118" s="187"/>
      <c r="I118" s="186"/>
      <c r="J118" s="231"/>
      <c r="S118" s="6"/>
      <c r="T118" s="6"/>
    </row>
    <row r="119" spans="2:20" x14ac:dyDescent="0.25">
      <c r="B119" s="183"/>
      <c r="C119" s="189"/>
      <c r="D119" s="185"/>
      <c r="E119" s="186"/>
      <c r="F119" s="187"/>
      <c r="G119" s="186"/>
      <c r="H119" s="187"/>
      <c r="I119" s="186"/>
      <c r="J119" s="231"/>
    </row>
    <row r="120" spans="2:20" x14ac:dyDescent="0.25">
      <c r="B120" s="183"/>
      <c r="C120" s="189"/>
      <c r="D120" s="185"/>
      <c r="E120" s="186"/>
      <c r="F120" s="187"/>
      <c r="G120" s="186"/>
      <c r="H120" s="187"/>
      <c r="I120" s="186"/>
      <c r="J120" s="231"/>
    </row>
    <row r="121" spans="2:20" x14ac:dyDescent="0.25">
      <c r="B121" s="183"/>
      <c r="C121" s="189"/>
      <c r="D121" s="185"/>
      <c r="E121" s="186"/>
      <c r="F121" s="187"/>
      <c r="G121" s="186"/>
      <c r="H121" s="187"/>
      <c r="I121" s="186"/>
      <c r="J121" s="231"/>
    </row>
    <row r="122" spans="2:20" x14ac:dyDescent="0.25">
      <c r="B122" s="183"/>
      <c r="C122" s="189"/>
      <c r="D122" s="185"/>
      <c r="E122" s="186"/>
      <c r="F122" s="187"/>
      <c r="G122" s="186"/>
      <c r="H122" s="187"/>
      <c r="I122" s="186"/>
      <c r="J122" s="231"/>
    </row>
    <row r="123" spans="2:20" x14ac:dyDescent="0.25">
      <c r="B123" s="183"/>
      <c r="C123" s="189"/>
      <c r="D123" s="185"/>
      <c r="E123" s="186"/>
      <c r="F123" s="187"/>
      <c r="G123" s="186"/>
      <c r="H123" s="187"/>
      <c r="I123" s="186"/>
      <c r="J123" s="231"/>
    </row>
    <row r="124" spans="2:20" x14ac:dyDescent="0.25">
      <c r="B124" s="183"/>
      <c r="C124" s="189"/>
      <c r="D124" s="185"/>
      <c r="E124" s="186"/>
      <c r="F124" s="187"/>
      <c r="G124" s="186"/>
      <c r="H124" s="187"/>
      <c r="I124" s="186"/>
      <c r="J124" s="231"/>
    </row>
    <row r="125" spans="2:20" x14ac:dyDescent="0.25">
      <c r="B125" s="183"/>
      <c r="C125" s="189"/>
      <c r="D125" s="185"/>
      <c r="E125" s="186"/>
      <c r="F125" s="187"/>
      <c r="G125" s="186"/>
      <c r="H125" s="187"/>
      <c r="I125" s="186"/>
      <c r="J125" s="231"/>
    </row>
    <row r="126" spans="2:20" x14ac:dyDescent="0.25">
      <c r="B126" s="183"/>
      <c r="C126" s="189"/>
      <c r="D126" s="185"/>
      <c r="E126" s="186"/>
      <c r="F126" s="187"/>
      <c r="G126" s="186"/>
      <c r="H126" s="187"/>
      <c r="I126" s="186"/>
      <c r="J126" s="231"/>
    </row>
    <row r="127" spans="2:20" x14ac:dyDescent="0.25">
      <c r="B127" s="190"/>
      <c r="C127" s="189"/>
      <c r="D127" s="186"/>
      <c r="E127" s="186"/>
      <c r="F127" s="187"/>
      <c r="G127" s="186"/>
      <c r="H127" s="187"/>
      <c r="I127" s="186"/>
      <c r="J127" s="231"/>
    </row>
    <row r="128" spans="2:20" x14ac:dyDescent="0.25">
      <c r="B128" s="190"/>
      <c r="C128" s="189"/>
      <c r="D128" s="186"/>
      <c r="E128" s="186"/>
      <c r="F128" s="187"/>
      <c r="G128" s="186"/>
      <c r="H128" s="187"/>
      <c r="I128" s="186"/>
      <c r="J128" s="231"/>
    </row>
    <row r="129" spans="2:10" x14ac:dyDescent="0.25">
      <c r="B129" s="190"/>
      <c r="C129" s="189"/>
      <c r="D129" s="186"/>
      <c r="E129" s="186"/>
      <c r="F129" s="187"/>
      <c r="G129" s="186"/>
      <c r="H129" s="187"/>
      <c r="I129" s="186"/>
      <c r="J129" s="231"/>
    </row>
    <row r="130" spans="2:10" x14ac:dyDescent="0.25">
      <c r="B130" s="190"/>
      <c r="C130" s="189"/>
      <c r="D130" s="186"/>
      <c r="E130" s="186"/>
      <c r="F130" s="187"/>
      <c r="G130" s="186"/>
      <c r="H130" s="187"/>
      <c r="I130" s="186"/>
      <c r="J130" s="231"/>
    </row>
    <row r="131" spans="2:10" x14ac:dyDescent="0.25">
      <c r="B131" s="190"/>
      <c r="C131" s="189"/>
      <c r="D131" s="186"/>
      <c r="E131" s="186"/>
      <c r="F131" s="187"/>
      <c r="G131" s="186"/>
      <c r="H131" s="187"/>
      <c r="I131" s="186"/>
      <c r="J131" s="231"/>
    </row>
    <row r="132" spans="2:10" x14ac:dyDescent="0.25">
      <c r="B132" s="190"/>
      <c r="C132" s="189"/>
      <c r="D132" s="186"/>
      <c r="E132" s="186"/>
      <c r="F132" s="187"/>
      <c r="G132" s="186"/>
      <c r="H132" s="187"/>
      <c r="I132" s="186"/>
      <c r="J132" s="231"/>
    </row>
    <row r="133" spans="2:10" x14ac:dyDescent="0.25">
      <c r="B133" s="190"/>
      <c r="C133" s="189"/>
      <c r="D133" s="186"/>
      <c r="E133" s="186"/>
      <c r="F133" s="187"/>
      <c r="G133" s="186"/>
      <c r="H133" s="187"/>
      <c r="I133" s="186"/>
      <c r="J133" s="231"/>
    </row>
    <row r="134" spans="2:10" x14ac:dyDescent="0.25">
      <c r="B134" s="190"/>
      <c r="C134" s="189"/>
      <c r="D134" s="186"/>
      <c r="E134" s="186"/>
      <c r="F134" s="187"/>
      <c r="G134" s="186"/>
      <c r="H134" s="187"/>
      <c r="I134" s="186"/>
      <c r="J134" s="231"/>
    </row>
    <row r="135" spans="2:10" x14ac:dyDescent="0.25">
      <c r="B135" s="190"/>
      <c r="C135" s="189"/>
      <c r="D135" s="186"/>
      <c r="E135" s="186"/>
      <c r="F135" s="187"/>
      <c r="G135" s="186"/>
      <c r="H135" s="187"/>
      <c r="I135" s="186"/>
      <c r="J135" s="231"/>
    </row>
    <row r="136" spans="2:10" x14ac:dyDescent="0.25">
      <c r="B136" s="190"/>
      <c r="C136" s="189"/>
      <c r="D136" s="186"/>
      <c r="E136" s="186"/>
      <c r="F136" s="187"/>
      <c r="G136" s="186"/>
      <c r="H136" s="187"/>
      <c r="I136" s="186"/>
      <c r="J136" s="231"/>
    </row>
    <row r="137" spans="2:10" x14ac:dyDescent="0.25">
      <c r="B137" s="190"/>
      <c r="C137" s="189"/>
      <c r="D137" s="186"/>
      <c r="E137" s="186"/>
      <c r="F137" s="187"/>
      <c r="G137" s="186"/>
      <c r="H137" s="187"/>
      <c r="I137" s="186"/>
      <c r="J137" s="231"/>
    </row>
    <row r="138" spans="2:10" x14ac:dyDescent="0.25">
      <c r="B138" s="190"/>
      <c r="C138" s="189"/>
      <c r="D138" s="186"/>
      <c r="E138" s="186"/>
      <c r="F138" s="187"/>
      <c r="G138" s="186"/>
      <c r="H138" s="187"/>
      <c r="I138" s="186"/>
      <c r="J138" s="231"/>
    </row>
    <row r="139" spans="2:10" x14ac:dyDescent="0.25">
      <c r="B139" s="190"/>
      <c r="C139" s="189"/>
      <c r="D139" s="186"/>
      <c r="E139" s="186"/>
      <c r="F139" s="187"/>
      <c r="G139" s="186"/>
      <c r="H139" s="187"/>
      <c r="I139" s="186"/>
      <c r="J139" s="231"/>
    </row>
    <row r="140" spans="2:10" x14ac:dyDescent="0.25">
      <c r="B140" s="190"/>
      <c r="C140" s="189"/>
      <c r="D140" s="186"/>
      <c r="E140" s="186"/>
      <c r="F140" s="187"/>
      <c r="G140" s="186"/>
      <c r="H140" s="187"/>
      <c r="I140" s="186"/>
      <c r="J140" s="231"/>
    </row>
    <row r="141" spans="2:10" x14ac:dyDescent="0.25">
      <c r="B141" s="190"/>
      <c r="C141" s="189"/>
      <c r="D141" s="186"/>
      <c r="E141" s="186"/>
      <c r="F141" s="187"/>
      <c r="G141" s="186"/>
      <c r="H141" s="187"/>
      <c r="I141" s="186"/>
      <c r="J141" s="231"/>
    </row>
    <row r="142" spans="2:10" x14ac:dyDescent="0.25">
      <c r="B142" s="190"/>
      <c r="C142" s="189"/>
      <c r="D142" s="186"/>
      <c r="E142" s="186"/>
      <c r="F142" s="187"/>
      <c r="G142" s="186"/>
      <c r="H142" s="187"/>
      <c r="I142" s="186"/>
      <c r="J142" s="231"/>
    </row>
    <row r="143" spans="2:10" x14ac:dyDescent="0.25">
      <c r="B143" s="190"/>
      <c r="C143" s="189"/>
      <c r="D143" s="186"/>
      <c r="E143" s="186"/>
      <c r="F143" s="187"/>
      <c r="G143" s="186"/>
      <c r="H143" s="187"/>
      <c r="I143" s="186"/>
      <c r="J143" s="231"/>
    </row>
    <row r="144" spans="2:10" x14ac:dyDescent="0.25">
      <c r="B144" s="190"/>
      <c r="C144" s="189"/>
      <c r="D144" s="186"/>
      <c r="E144" s="186"/>
      <c r="F144" s="187"/>
      <c r="G144" s="186"/>
      <c r="H144" s="187"/>
      <c r="I144" s="186"/>
      <c r="J144" s="231"/>
    </row>
    <row r="145" spans="2:10" x14ac:dyDescent="0.25">
      <c r="B145" s="190"/>
      <c r="C145" s="189"/>
      <c r="D145" s="186"/>
      <c r="E145" s="186"/>
      <c r="F145" s="187"/>
      <c r="G145" s="186"/>
      <c r="H145" s="187"/>
      <c r="I145" s="186"/>
      <c r="J145" s="231"/>
    </row>
    <row r="146" spans="2:10" x14ac:dyDescent="0.25">
      <c r="B146" s="190"/>
      <c r="C146" s="189"/>
      <c r="D146" s="186"/>
      <c r="E146" s="186"/>
      <c r="F146" s="187"/>
      <c r="G146" s="186"/>
      <c r="H146" s="187"/>
      <c r="I146" s="186"/>
      <c r="J146" s="231"/>
    </row>
    <row r="147" spans="2:10" x14ac:dyDescent="0.25">
      <c r="B147" s="190"/>
      <c r="C147" s="189"/>
      <c r="D147" s="186"/>
      <c r="E147" s="186"/>
      <c r="F147" s="187"/>
      <c r="G147" s="186"/>
      <c r="H147" s="187"/>
      <c r="I147" s="186"/>
      <c r="J147" s="231"/>
    </row>
    <row r="148" spans="2:10" x14ac:dyDescent="0.25">
      <c r="B148" s="190"/>
      <c r="C148" s="189"/>
      <c r="D148" s="186"/>
      <c r="E148" s="186"/>
      <c r="F148" s="187"/>
      <c r="G148" s="186"/>
      <c r="H148" s="187"/>
      <c r="I148" s="186"/>
      <c r="J148" s="231"/>
    </row>
    <row r="149" spans="2:10" x14ac:dyDescent="0.25">
      <c r="B149" s="190"/>
      <c r="C149" s="189"/>
      <c r="D149" s="186"/>
      <c r="E149" s="186"/>
      <c r="F149" s="187"/>
      <c r="G149" s="186"/>
      <c r="H149" s="187"/>
      <c r="I149" s="186"/>
      <c r="J149" s="231"/>
    </row>
    <row r="150" spans="2:10" x14ac:dyDescent="0.25">
      <c r="B150" s="191"/>
      <c r="C150" s="192"/>
      <c r="D150" s="193"/>
      <c r="E150" s="193"/>
      <c r="F150" s="194"/>
      <c r="G150" s="193"/>
      <c r="H150" s="194"/>
      <c r="I150" s="193"/>
      <c r="J150" s="232"/>
    </row>
  </sheetData>
  <sheetProtection sheet="1" objects="1" scenarios="1" formatCells="0" formatColumns="0" formatRows="0"/>
  <mergeCells count="11">
    <mergeCell ref="F4:F5"/>
    <mergeCell ref="B2:J2"/>
    <mergeCell ref="B3:J3"/>
    <mergeCell ref="H4:H5"/>
    <mergeCell ref="G4:G5"/>
    <mergeCell ref="I4:I5"/>
    <mergeCell ref="J4:J5"/>
    <mergeCell ref="B4:B5"/>
    <mergeCell ref="D4:D5"/>
    <mergeCell ref="E4:E5"/>
    <mergeCell ref="C4:C5"/>
  </mergeCells>
  <conditionalFormatting sqref="B6:B150 D6:E150">
    <cfRule type="cellIs" dxfId="32" priority="1" operator="notEqual">
      <formula>""</formula>
    </cfRule>
  </conditionalFormatting>
  <pageMargins left="0.31496062992125984" right="0.31496062992125984" top="0.39370078740157483" bottom="0.39370078740157483" header="0.31496062992125984" footer="0.31496062992125984"/>
  <pageSetup paperSize="9" scale="61" fitToHeight="0" pageOrder="overThenDown" orientation="portrait" horizontalDpi="0" verticalDpi="0" r:id="rId1"/>
  <ignoredErrors>
    <ignoredError sqref="H69 H42 F42" unlockedFormula="1"/>
  </ignoredErrors>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P43"/>
  <sheetViews>
    <sheetView workbookViewId="0">
      <selection activeCell="H2" sqref="H2:M2"/>
    </sheetView>
  </sheetViews>
  <sheetFormatPr defaultRowHeight="15" x14ac:dyDescent="0.25"/>
  <cols>
    <col min="1" max="1" width="3.28515625" style="5" customWidth="1"/>
    <col min="2" max="2" width="16.42578125" style="5" hidden="1" customWidth="1"/>
    <col min="3" max="3" width="13.42578125" style="5" hidden="1" customWidth="1"/>
    <col min="4" max="4" width="9.140625" style="5" hidden="1" customWidth="1"/>
    <col min="5" max="5" width="37.7109375" style="5" customWidth="1"/>
    <col min="6" max="7" width="15.7109375" style="5" customWidth="1"/>
    <col min="8" max="8" width="35.7109375" style="5" customWidth="1"/>
    <col min="9" max="16" width="15.7109375" style="5" customWidth="1"/>
    <col min="17" max="16384" width="9.140625" style="5"/>
  </cols>
  <sheetData>
    <row r="2" spans="2:16" ht="15.75" x14ac:dyDescent="0.25">
      <c r="B2" s="294" t="s">
        <v>178</v>
      </c>
      <c r="C2" s="294"/>
      <c r="D2" s="113"/>
      <c r="E2" s="294" t="s">
        <v>185</v>
      </c>
      <c r="F2" s="294"/>
      <c r="H2" s="294" t="s">
        <v>186</v>
      </c>
      <c r="I2" s="294"/>
      <c r="J2" s="294"/>
      <c r="K2" s="294"/>
      <c r="L2" s="294"/>
      <c r="M2" s="294"/>
      <c r="O2" s="294" t="s">
        <v>294</v>
      </c>
      <c r="P2" s="294"/>
    </row>
    <row r="4" spans="2:16" x14ac:dyDescent="0.25">
      <c r="B4" s="5" t="s">
        <v>162</v>
      </c>
      <c r="C4" s="5" t="s">
        <v>165</v>
      </c>
      <c r="E4" s="5" t="s">
        <v>184</v>
      </c>
      <c r="F4" s="5" t="s">
        <v>119</v>
      </c>
      <c r="H4" s="5" t="s">
        <v>196</v>
      </c>
      <c r="I4" s="5" t="s">
        <v>187</v>
      </c>
      <c r="J4" s="5" t="s">
        <v>188</v>
      </c>
      <c r="K4" s="5" t="s">
        <v>189</v>
      </c>
      <c r="L4" s="5" t="s">
        <v>190</v>
      </c>
      <c r="M4" s="5" t="s">
        <v>191</v>
      </c>
      <c r="O4" s="5" t="s">
        <v>295</v>
      </c>
      <c r="P4" s="5" t="s">
        <v>298</v>
      </c>
    </row>
    <row r="5" spans="2:16" x14ac:dyDescent="0.25">
      <c r="B5" s="5" t="s">
        <v>106</v>
      </c>
      <c r="C5" s="5" t="s">
        <v>163</v>
      </c>
      <c r="E5" s="5" t="s">
        <v>168</v>
      </c>
      <c r="F5" s="202">
        <v>139</v>
      </c>
      <c r="O5" s="216" t="s">
        <v>42</v>
      </c>
      <c r="P5" s="217" t="s">
        <v>86</v>
      </c>
    </row>
    <row r="6" spans="2:16" x14ac:dyDescent="0.25">
      <c r="B6" s="5" t="s">
        <v>105</v>
      </c>
      <c r="C6" s="5" t="s">
        <v>164</v>
      </c>
      <c r="E6" s="5" t="s">
        <v>120</v>
      </c>
      <c r="F6" s="203">
        <v>18</v>
      </c>
      <c r="H6" s="115" t="s">
        <v>198</v>
      </c>
      <c r="I6" s="205" t="s">
        <v>316</v>
      </c>
      <c r="J6" s="205" t="s">
        <v>316</v>
      </c>
      <c r="K6" s="205" t="s">
        <v>200</v>
      </c>
      <c r="L6" s="205"/>
      <c r="M6" s="205"/>
      <c r="O6" s="214" t="s">
        <v>77</v>
      </c>
      <c r="P6" s="215" t="s">
        <v>297</v>
      </c>
    </row>
    <row r="7" spans="2:16" x14ac:dyDescent="0.25">
      <c r="E7" s="5" t="s">
        <v>148</v>
      </c>
      <c r="F7" s="202">
        <v>12</v>
      </c>
      <c r="H7" s="115" t="s">
        <v>215</v>
      </c>
      <c r="I7" s="206" t="s">
        <v>231</v>
      </c>
      <c r="J7" s="206" t="s">
        <v>231</v>
      </c>
      <c r="K7" s="207" t="s">
        <v>219</v>
      </c>
      <c r="L7" s="207"/>
      <c r="M7" s="207"/>
      <c r="O7" s="216" t="s">
        <v>130</v>
      </c>
      <c r="P7" s="216" t="s">
        <v>300</v>
      </c>
    </row>
    <row r="8" spans="2:16" x14ac:dyDescent="0.25">
      <c r="E8" s="5" t="s">
        <v>147</v>
      </c>
      <c r="F8" s="203">
        <v>49.2</v>
      </c>
      <c r="H8" s="116"/>
      <c r="I8" s="208"/>
      <c r="J8" s="205"/>
      <c r="K8" s="205" t="s">
        <v>301</v>
      </c>
      <c r="L8" s="205"/>
      <c r="M8" s="205"/>
      <c r="O8" s="214" t="s">
        <v>83</v>
      </c>
      <c r="P8" s="215"/>
    </row>
    <row r="9" spans="2:16" x14ac:dyDescent="0.25">
      <c r="E9" s="5" t="s">
        <v>216</v>
      </c>
      <c r="F9" s="202">
        <v>24.5</v>
      </c>
      <c r="I9" s="195"/>
      <c r="O9" s="216" t="s">
        <v>293</v>
      </c>
      <c r="P9" s="217"/>
    </row>
    <row r="10" spans="2:16" x14ac:dyDescent="0.25">
      <c r="F10" s="204"/>
      <c r="H10" s="5" t="s">
        <v>192</v>
      </c>
      <c r="I10" s="209">
        <v>12</v>
      </c>
      <c r="J10" s="209">
        <v>12</v>
      </c>
      <c r="K10" s="209">
        <v>12</v>
      </c>
      <c r="L10" s="209"/>
      <c r="M10" s="209"/>
      <c r="O10" s="214" t="s">
        <v>300</v>
      </c>
      <c r="P10" s="215"/>
    </row>
    <row r="11" spans="2:16" x14ac:dyDescent="0.25">
      <c r="E11" s="5" t="s">
        <v>170</v>
      </c>
      <c r="F11" s="202">
        <v>12</v>
      </c>
      <c r="H11" s="5" t="s">
        <v>201</v>
      </c>
      <c r="I11" s="210">
        <v>50</v>
      </c>
      <c r="J11" s="210">
        <v>50.5</v>
      </c>
      <c r="K11" s="210"/>
      <c r="L11" s="210"/>
      <c r="M11" s="210"/>
      <c r="O11" s="216" t="s">
        <v>296</v>
      </c>
      <c r="P11" s="217"/>
    </row>
    <row r="12" spans="2:16" x14ac:dyDescent="0.25">
      <c r="E12" s="5" t="s">
        <v>173</v>
      </c>
      <c r="F12" s="203">
        <v>49.9</v>
      </c>
      <c r="H12" s="5" t="s">
        <v>202</v>
      </c>
      <c r="I12" s="209">
        <v>29</v>
      </c>
      <c r="J12" s="209">
        <v>29</v>
      </c>
      <c r="K12" s="209"/>
      <c r="L12" s="209"/>
      <c r="M12" s="209"/>
      <c r="O12" s="215"/>
      <c r="P12" s="215"/>
    </row>
    <row r="13" spans="2:16" x14ac:dyDescent="0.25">
      <c r="E13" s="5" t="s">
        <v>172</v>
      </c>
      <c r="F13" s="202">
        <v>28.7</v>
      </c>
      <c r="H13" s="5" t="s">
        <v>193</v>
      </c>
      <c r="I13" s="210">
        <v>41</v>
      </c>
      <c r="J13" s="210">
        <v>41</v>
      </c>
      <c r="K13" s="210">
        <v>-20</v>
      </c>
      <c r="L13" s="210"/>
      <c r="M13" s="210"/>
      <c r="O13" s="217"/>
      <c r="P13" s="217"/>
    </row>
    <row r="14" spans="2:16" x14ac:dyDescent="0.25">
      <c r="E14" s="5" t="s">
        <v>174</v>
      </c>
      <c r="F14" s="203">
        <v>41</v>
      </c>
      <c r="H14" s="5" t="s">
        <v>194</v>
      </c>
      <c r="I14" s="209">
        <v>81</v>
      </c>
      <c r="J14" s="209">
        <v>79.8</v>
      </c>
      <c r="K14" s="209">
        <v>85</v>
      </c>
      <c r="L14" s="209"/>
      <c r="M14" s="209"/>
      <c r="O14" s="215"/>
      <c r="P14" s="215"/>
    </row>
    <row r="15" spans="2:16" x14ac:dyDescent="0.25">
      <c r="E15" s="5" t="s">
        <v>175</v>
      </c>
      <c r="F15" s="202">
        <v>81.099999999999994</v>
      </c>
      <c r="H15" s="5" t="s">
        <v>203</v>
      </c>
      <c r="I15" s="210">
        <v>37.200000000000003</v>
      </c>
      <c r="J15" s="210">
        <v>37.200000000000003</v>
      </c>
      <c r="K15" s="210">
        <v>37.200000000000003</v>
      </c>
      <c r="L15" s="210"/>
      <c r="M15" s="210"/>
      <c r="O15" s="217"/>
      <c r="P15" s="217"/>
    </row>
    <row r="16" spans="2:16" x14ac:dyDescent="0.25">
      <c r="E16" s="5" t="s">
        <v>176</v>
      </c>
      <c r="F16" s="203">
        <v>37.200000000000003</v>
      </c>
      <c r="H16" s="5" t="s">
        <v>195</v>
      </c>
      <c r="I16" s="209">
        <v>56</v>
      </c>
      <c r="J16" s="209">
        <v>56</v>
      </c>
      <c r="K16" s="209">
        <v>56</v>
      </c>
      <c r="L16" s="209"/>
      <c r="M16" s="209"/>
      <c r="O16" s="215"/>
      <c r="P16" s="215"/>
    </row>
    <row r="17" spans="5:16" x14ac:dyDescent="0.25">
      <c r="E17" s="5" t="s">
        <v>177</v>
      </c>
      <c r="F17" s="202">
        <v>56</v>
      </c>
      <c r="H17" s="5" t="s">
        <v>171</v>
      </c>
      <c r="I17" s="211">
        <f>IF(OR(I14="",I15=""),"",FVBOffset+I$14+I$15)</f>
        <v>142.69999999999999</v>
      </c>
      <c r="J17" s="211">
        <f>IF(OR(J14="",J15=""),"",FVBOffset+J$14+J$15)</f>
        <v>141.5</v>
      </c>
      <c r="K17" s="211">
        <f>IF(OR(K14="",K15=""),"",FVBOffset+K$14+K$15)</f>
        <v>146.69999999999999</v>
      </c>
      <c r="L17" s="211" t="str">
        <f>IF(OR(L14="",L15=""),"",FVBOffset+L$14+L$15)</f>
        <v/>
      </c>
      <c r="M17" s="211" t="str">
        <f>IF(OR(M14="",M15=""),"",FVBOffset+M$14+M$15)</f>
        <v/>
      </c>
      <c r="O17" s="217"/>
      <c r="P17" s="217"/>
    </row>
    <row r="18" spans="5:16" x14ac:dyDescent="0.25">
      <c r="E18" s="5" t="s">
        <v>171</v>
      </c>
      <c r="F18" s="94" t="s">
        <v>199</v>
      </c>
      <c r="I18" s="196"/>
      <c r="J18" s="196"/>
      <c r="K18" s="196"/>
      <c r="L18" s="196"/>
      <c r="M18" s="196"/>
      <c r="O18" s="215"/>
      <c r="P18" s="215"/>
    </row>
    <row r="19" spans="5:16" x14ac:dyDescent="0.25">
      <c r="F19" s="94"/>
      <c r="I19" s="196"/>
      <c r="J19" s="196"/>
      <c r="K19" s="196"/>
      <c r="L19" s="196"/>
      <c r="M19" s="196"/>
      <c r="O19" s="217"/>
      <c r="P19" s="217"/>
    </row>
    <row r="20" spans="5:16" x14ac:dyDescent="0.25">
      <c r="E20" s="5" t="s">
        <v>179</v>
      </c>
      <c r="F20" s="203">
        <v>250</v>
      </c>
      <c r="H20" s="7" t="s">
        <v>217</v>
      </c>
      <c r="I20" s="196"/>
      <c r="J20" s="196"/>
      <c r="K20" s="196"/>
      <c r="L20" s="196"/>
      <c r="M20" s="196"/>
      <c r="O20" s="215"/>
      <c r="P20" s="215"/>
    </row>
    <row r="21" spans="5:16" x14ac:dyDescent="0.25">
      <c r="E21" s="5" t="s">
        <v>277</v>
      </c>
      <c r="F21" s="202">
        <v>0.6</v>
      </c>
      <c r="H21" s="66" t="s">
        <v>53</v>
      </c>
      <c r="I21" s="196">
        <f ca="1">IF(ISERROR(OR(VariableJPL,I10)),NotAvailable,VariableJPL-I10/2)</f>
        <v>132</v>
      </c>
      <c r="J21" s="196">
        <f ca="1">IF(ISERROR(OR(VariableJPL,J10)),NotAvailable,VariableJPL-J10/2)</f>
        <v>132</v>
      </c>
      <c r="K21" s="196">
        <f ca="1">IF(ISERROR(OR(VariableJPL,K10)),NotAvailable,VariableJPL-K10/2)</f>
        <v>132</v>
      </c>
      <c r="L21" s="196">
        <f ca="1">IF(ISERROR(OR(VariableJPL,L10)),NotAvailable,VariableJPL-L10/2)</f>
        <v>138</v>
      </c>
      <c r="M21" s="196">
        <f ca="1">IF(ISERROR(OR(VariableJPL,M10)),NotAvailable,VariableJPL-M10/2)</f>
        <v>138</v>
      </c>
      <c r="O21" s="217"/>
      <c r="P21" s="217"/>
    </row>
    <row r="22" spans="5:16" x14ac:dyDescent="0.25">
      <c r="F22" s="94"/>
      <c r="H22" s="66" t="s">
        <v>4</v>
      </c>
      <c r="I22" s="196">
        <f ca="1">IF(OR(VariableJTD=NotAvailable,ISERROR(OR(VariableJTD,I10))),NotAvailable,VariableJTD/2+I10/2)</f>
        <v>12</v>
      </c>
      <c r="J22" s="196">
        <f ca="1">IF(OR(VariableJTD=NotAvailable,ISERROR(OR(VariableJTD,J10))),NotAvailable,VariableJTD/2+J10/2)</f>
        <v>12</v>
      </c>
      <c r="K22" s="196">
        <f ca="1">IF(OR(VariableJTD=NotAvailable,ISERROR(OR(VariableJTD,K10))),NotAvailable,VariableJTD/2+K10/2)</f>
        <v>12</v>
      </c>
      <c r="L22" s="196">
        <f ca="1">IF(OR(VariableJTD=NotAvailable,ISERROR(OR(VariableJTD,L10))),NotAvailable,VariableJTD/2+L10/2)</f>
        <v>6</v>
      </c>
      <c r="M22" s="196">
        <f ca="1">IF(OR(VariableJTD=NotAvailable,ISERROR(OR(VariableJTD,M10))),NotAvailable,VariableJTD/2+M10/2)</f>
        <v>6</v>
      </c>
      <c r="O22" s="215"/>
      <c r="P22" s="215"/>
    </row>
    <row r="23" spans="5:16" x14ac:dyDescent="0.25">
      <c r="E23" s="5" t="s">
        <v>169</v>
      </c>
      <c r="F23" s="202">
        <v>24.5</v>
      </c>
      <c r="H23" s="66" t="s">
        <v>2</v>
      </c>
      <c r="I23" s="196">
        <f ca="1">IF(OR(I21=NotAvailable,I22=NotAvailable),NotAvailable,SQRT(I21^2+I22^2))</f>
        <v>132.54433220624713</v>
      </c>
      <c r="J23" s="196">
        <f ca="1">IF(OR(J21=NotAvailable,J22=NotAvailable),NotAvailable,SQRT(J21^2+J22^2))</f>
        <v>132.54433220624713</v>
      </c>
      <c r="K23" s="196">
        <f ca="1">IF(OR(K21=NotAvailable,K22=NotAvailable),NotAvailable,SQRT(K21^2+K22^2))</f>
        <v>132.54433220624713</v>
      </c>
      <c r="L23" s="196">
        <f ca="1">IF(OR(L21=NotAvailable,L22=NotAvailable),NotAvailable,SQRT(L21^2+L22^2))</f>
        <v>138.13037319865606</v>
      </c>
      <c r="M23" s="196">
        <f ca="1">IF(OR(M21=NotAvailable,M22=NotAvailable),NotAvailable,SQRT(M21^2+M22^2))</f>
        <v>138.13037319865606</v>
      </c>
      <c r="O23" s="217"/>
      <c r="P23" s="217"/>
    </row>
    <row r="24" spans="5:16" x14ac:dyDescent="0.25">
      <c r="E24" s="5" t="s">
        <v>153</v>
      </c>
      <c r="F24" s="203">
        <v>67</v>
      </c>
      <c r="H24" s="66" t="s">
        <v>3</v>
      </c>
      <c r="I24" s="196">
        <f ca="1">IF(OR(I21=NotAvailable,I22=NotAvailable),NotAvailable,DEGREES(ATAN(I22/I21)))</f>
        <v>5.1944289077348058</v>
      </c>
      <c r="J24" s="196">
        <f ca="1">IF(OR(J21=NotAvailable,J22=NotAvailable),NotAvailable,DEGREES(ATAN(J22/J21)))</f>
        <v>5.1944289077348058</v>
      </c>
      <c r="K24" s="196">
        <f ca="1">IF(OR(K21=NotAvailable,K22=NotAvailable),NotAvailable,DEGREES(ATAN(K22/K21)))</f>
        <v>5.1944289077348058</v>
      </c>
      <c r="L24" s="196">
        <f ca="1">IF(OR(L21=NotAvailable,L22=NotAvailable),NotAvailable,DEGREES(ATAN(L22/L21)))</f>
        <v>2.4895529219991559</v>
      </c>
      <c r="M24" s="196">
        <f ca="1">IF(OR(M21=NotAvailable,M22=NotAvailable),NotAvailable,DEGREES(ATAN(M22/M21)))</f>
        <v>2.4895529219991559</v>
      </c>
      <c r="O24" s="215"/>
      <c r="P24" s="215"/>
    </row>
    <row r="25" spans="5:16" x14ac:dyDescent="0.25">
      <c r="E25" s="5" t="s">
        <v>154</v>
      </c>
      <c r="F25" s="202">
        <v>186</v>
      </c>
      <c r="I25" s="196"/>
      <c r="J25" s="196"/>
      <c r="K25" s="196"/>
      <c r="L25" s="196"/>
      <c r="M25" s="196"/>
      <c r="O25" s="217"/>
      <c r="P25" s="217"/>
    </row>
    <row r="26" spans="5:16" x14ac:dyDescent="0.25">
      <c r="E26" s="5" t="s">
        <v>155</v>
      </c>
      <c r="F26" s="203">
        <v>22</v>
      </c>
    </row>
    <row r="27" spans="5:16" x14ac:dyDescent="0.25">
      <c r="E27" s="5" t="s">
        <v>155</v>
      </c>
      <c r="F27" s="202">
        <v>134</v>
      </c>
    </row>
    <row r="28" spans="5:16" x14ac:dyDescent="0.25">
      <c r="E28" s="5" t="s">
        <v>156</v>
      </c>
      <c r="F28" s="203">
        <v>67</v>
      </c>
    </row>
    <row r="29" spans="5:16" x14ac:dyDescent="0.25">
      <c r="E29" s="5" t="s">
        <v>157</v>
      </c>
      <c r="F29" s="202">
        <v>240</v>
      </c>
      <c r="H29" s="197" t="s">
        <v>326</v>
      </c>
      <c r="I29" s="86"/>
      <c r="J29" s="86"/>
      <c r="K29" s="86"/>
      <c r="L29" s="86"/>
      <c r="M29" s="86"/>
    </row>
    <row r="30" spans="5:16" x14ac:dyDescent="0.25">
      <c r="E30" s="5" t="s">
        <v>158</v>
      </c>
      <c r="F30" s="203">
        <v>22</v>
      </c>
      <c r="H30" s="198" t="s">
        <v>228</v>
      </c>
      <c r="I30" s="198"/>
      <c r="J30" s="199" t="s">
        <v>227</v>
      </c>
      <c r="K30" s="198"/>
      <c r="L30" s="198"/>
      <c r="M30" s="198"/>
    </row>
    <row r="31" spans="5:16" x14ac:dyDescent="0.25">
      <c r="E31" s="5" t="s">
        <v>158</v>
      </c>
      <c r="F31" s="202">
        <v>188</v>
      </c>
      <c r="H31" s="198" t="s">
        <v>229</v>
      </c>
      <c r="I31" s="198"/>
      <c r="J31" s="198" t="s">
        <v>219</v>
      </c>
      <c r="K31" s="198"/>
      <c r="L31" s="198"/>
      <c r="M31" s="198"/>
    </row>
    <row r="32" spans="5:16" x14ac:dyDescent="0.25">
      <c r="F32" s="94"/>
      <c r="H32" s="198" t="s">
        <v>220</v>
      </c>
      <c r="I32" s="198"/>
      <c r="J32" s="199" t="s">
        <v>224</v>
      </c>
      <c r="K32" s="198"/>
      <c r="L32" s="198"/>
      <c r="M32" s="198"/>
    </row>
    <row r="33" spans="5:13" x14ac:dyDescent="0.25">
      <c r="E33" s="5" t="s">
        <v>166</v>
      </c>
      <c r="F33" s="109" t="s">
        <v>167</v>
      </c>
      <c r="H33" s="198" t="s">
        <v>233</v>
      </c>
      <c r="I33" s="198"/>
      <c r="J33" s="200" t="s">
        <v>221</v>
      </c>
      <c r="K33" s="198"/>
      <c r="L33" s="198"/>
      <c r="M33" s="198"/>
    </row>
    <row r="34" spans="5:13" x14ac:dyDescent="0.25">
      <c r="E34" s="5" t="s">
        <v>290</v>
      </c>
      <c r="F34" s="109" t="s">
        <v>291</v>
      </c>
      <c r="H34" s="198" t="s">
        <v>234</v>
      </c>
      <c r="I34" s="198"/>
      <c r="J34" s="200" t="s">
        <v>221</v>
      </c>
      <c r="K34" s="198"/>
      <c r="L34" s="198"/>
      <c r="M34" s="198"/>
    </row>
    <row r="35" spans="5:13" x14ac:dyDescent="0.25">
      <c r="E35" s="5" t="s">
        <v>122</v>
      </c>
      <c r="F35" s="109" t="s">
        <v>123</v>
      </c>
      <c r="H35" s="198" t="s">
        <v>235</v>
      </c>
      <c r="I35" s="198"/>
      <c r="J35" s="199" t="s">
        <v>223</v>
      </c>
      <c r="K35" s="198"/>
      <c r="L35" s="198"/>
      <c r="M35" s="198"/>
    </row>
    <row r="36" spans="5:13" x14ac:dyDescent="0.25">
      <c r="F36" s="94"/>
      <c r="H36" s="198" t="s">
        <v>236</v>
      </c>
      <c r="I36" s="198"/>
      <c r="J36" s="199" t="s">
        <v>222</v>
      </c>
      <c r="K36" s="198"/>
      <c r="L36" s="198"/>
      <c r="M36" s="198"/>
    </row>
    <row r="37" spans="5:13" x14ac:dyDescent="0.25">
      <c r="E37" s="223" t="s">
        <v>281</v>
      </c>
      <c r="F37" s="135" t="s">
        <v>282</v>
      </c>
      <c r="H37" s="198" t="s">
        <v>237</v>
      </c>
      <c r="I37" s="198"/>
      <c r="J37" s="199" t="s">
        <v>225</v>
      </c>
      <c r="K37" s="198"/>
      <c r="L37" s="198"/>
      <c r="M37" s="198"/>
    </row>
    <row r="38" spans="5:13" x14ac:dyDescent="0.25">
      <c r="H38" s="198" t="s">
        <v>238</v>
      </c>
      <c r="I38" s="198"/>
      <c r="J38" s="199" t="s">
        <v>226</v>
      </c>
      <c r="K38" s="198"/>
      <c r="L38" s="198"/>
      <c r="M38" s="198"/>
    </row>
    <row r="39" spans="5:13" x14ac:dyDescent="0.25">
      <c r="H39" s="198" t="s">
        <v>239</v>
      </c>
      <c r="I39" s="198"/>
      <c r="J39" s="201" t="s">
        <v>230</v>
      </c>
      <c r="K39" s="198"/>
      <c r="L39" s="198"/>
      <c r="M39" s="198"/>
    </row>
    <row r="40" spans="5:13" x14ac:dyDescent="0.25">
      <c r="H40" s="198"/>
      <c r="I40" s="198"/>
      <c r="J40" s="198"/>
      <c r="K40" s="198"/>
      <c r="L40" s="198"/>
      <c r="M40" s="198"/>
    </row>
    <row r="41" spans="5:13" x14ac:dyDescent="0.25">
      <c r="H41" s="198" t="s">
        <v>232</v>
      </c>
      <c r="I41" s="198"/>
      <c r="J41" s="198"/>
      <c r="K41" s="198"/>
      <c r="L41" s="198"/>
      <c r="M41" s="198"/>
    </row>
    <row r="42" spans="5:13" x14ac:dyDescent="0.25">
      <c r="H42" s="198" t="s">
        <v>265</v>
      </c>
      <c r="I42" s="198"/>
      <c r="J42" s="198"/>
      <c r="K42" s="198"/>
      <c r="L42" s="198"/>
      <c r="M42" s="198"/>
    </row>
    <row r="43" spans="5:13" x14ac:dyDescent="0.25">
      <c r="H43" s="198" t="s">
        <v>248</v>
      </c>
    </row>
  </sheetData>
  <sheetProtection sheet="1" objects="1" scenarios="1" formatCells="0" formatColumns="0" formatRows="0"/>
  <mergeCells count="4">
    <mergeCell ref="B2:C2"/>
    <mergeCell ref="E2:F2"/>
    <mergeCell ref="H2:M2"/>
    <mergeCell ref="O2:P2"/>
  </mergeCells>
  <dataValidations count="1">
    <dataValidation type="custom" allowBlank="1" showInputMessage="1" showErrorMessage="1" sqref="I6:M6">
      <formula1>COUNTIF($I$6:I$6,"")=0</formula1>
    </dataValidation>
  </dataValidations>
  <pageMargins left="0.7" right="0.7" top="0.78740157499999996" bottom="0.78740157499999996" header="0.3" footer="0.3"/>
  <pageSetup paperSize="9" orientation="landscape" horizontalDpi="0" verticalDpi="0" r:id="rId1"/>
  <ignoredErrors>
    <ignoredError sqref="I17:M17" unlockedFormula="1"/>
  </ignoredErrors>
  <drawing r:id="rId2"/>
  <legacyDrawing r:id="rId3"/>
  <tableParts count="4">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B1:U84"/>
  <sheetViews>
    <sheetView workbookViewId="0">
      <selection activeCell="B2" sqref="B2:T2"/>
    </sheetView>
  </sheetViews>
  <sheetFormatPr defaultRowHeight="15" x14ac:dyDescent="0.25"/>
  <cols>
    <col min="1" max="1" width="3.28515625" style="121" customWidth="1"/>
    <col min="2" max="2" width="9.140625" style="142" customWidth="1"/>
    <col min="3" max="16384" width="9.140625" style="121"/>
  </cols>
  <sheetData>
    <row r="1" spans="2:21" x14ac:dyDescent="0.25">
      <c r="U1" s="122"/>
    </row>
    <row r="2" spans="2:21" ht="15.75" x14ac:dyDescent="0.25">
      <c r="B2" s="299" t="s">
        <v>259</v>
      </c>
      <c r="C2" s="300"/>
      <c r="D2" s="300"/>
      <c r="E2" s="300"/>
      <c r="F2" s="300"/>
      <c r="G2" s="300"/>
      <c r="H2" s="300"/>
      <c r="I2" s="300"/>
      <c r="J2" s="300"/>
      <c r="K2" s="300"/>
      <c r="L2" s="300"/>
      <c r="M2" s="300"/>
      <c r="N2" s="300"/>
      <c r="O2" s="300"/>
      <c r="P2" s="300"/>
      <c r="Q2" s="300"/>
      <c r="R2" s="300"/>
      <c r="S2" s="300"/>
      <c r="T2" s="300"/>
      <c r="U2" s="123"/>
    </row>
    <row r="3" spans="2:21" x14ac:dyDescent="0.25">
      <c r="B3" s="218"/>
      <c r="C3" s="133"/>
      <c r="D3" s="133"/>
      <c r="E3" s="133"/>
      <c r="F3" s="133"/>
      <c r="G3" s="133"/>
      <c r="H3" s="133"/>
      <c r="I3" s="133"/>
      <c r="J3" s="133"/>
      <c r="K3" s="133"/>
      <c r="L3" s="133"/>
      <c r="M3" s="133"/>
      <c r="N3" s="133"/>
      <c r="O3" s="133"/>
      <c r="P3" s="133"/>
      <c r="Q3" s="133"/>
      <c r="R3" s="133"/>
      <c r="S3" s="133"/>
      <c r="T3" s="133"/>
      <c r="U3" s="122"/>
    </row>
    <row r="4" spans="2:21" x14ac:dyDescent="0.25">
      <c r="B4" s="218"/>
      <c r="C4" s="133"/>
      <c r="D4" s="133"/>
      <c r="E4" s="133"/>
      <c r="F4" s="133"/>
      <c r="G4" s="133"/>
      <c r="H4" s="133"/>
      <c r="I4" s="133"/>
      <c r="J4" s="133"/>
      <c r="K4" s="133"/>
      <c r="L4" s="133"/>
      <c r="M4" s="133"/>
      <c r="N4" s="133"/>
      <c r="O4" s="133"/>
      <c r="P4" s="133"/>
      <c r="Q4" s="133"/>
      <c r="R4" s="133"/>
      <c r="S4" s="133"/>
      <c r="T4" s="133"/>
      <c r="U4" s="122"/>
    </row>
    <row r="5" spans="2:21" x14ac:dyDescent="0.25">
      <c r="B5" s="141" t="s">
        <v>260</v>
      </c>
      <c r="C5" s="297" t="s">
        <v>272</v>
      </c>
      <c r="D5" s="297"/>
      <c r="E5" s="297"/>
      <c r="F5" s="297"/>
      <c r="G5" s="297"/>
      <c r="H5" s="297"/>
      <c r="I5" s="297"/>
      <c r="J5" s="297"/>
      <c r="K5" s="297"/>
      <c r="L5" s="297"/>
      <c r="M5" s="297"/>
      <c r="N5" s="297"/>
      <c r="O5" s="297"/>
      <c r="P5" s="297"/>
      <c r="Q5" s="297"/>
      <c r="R5" s="297"/>
      <c r="S5" s="297"/>
      <c r="T5" s="297"/>
      <c r="U5" s="122"/>
    </row>
    <row r="6" spans="2:21" x14ac:dyDescent="0.25">
      <c r="B6" s="218"/>
      <c r="C6" s="133"/>
      <c r="D6" s="133"/>
      <c r="E6" s="133"/>
      <c r="F6" s="133"/>
      <c r="G6" s="133"/>
      <c r="H6" s="133"/>
      <c r="I6" s="133"/>
      <c r="J6" s="133"/>
      <c r="K6" s="133"/>
      <c r="L6" s="133"/>
      <c r="M6" s="133"/>
      <c r="N6" s="133"/>
      <c r="O6" s="133"/>
      <c r="P6" s="133"/>
      <c r="Q6" s="133"/>
      <c r="R6" s="133"/>
      <c r="S6" s="133"/>
      <c r="T6" s="133"/>
      <c r="U6" s="122"/>
    </row>
    <row r="7" spans="2:21" ht="15" customHeight="1" x14ac:dyDescent="0.25">
      <c r="B7" s="229" t="s">
        <v>261</v>
      </c>
      <c r="C7" s="302" t="s">
        <v>302</v>
      </c>
      <c r="D7" s="302"/>
      <c r="E7" s="302"/>
      <c r="F7" s="302"/>
      <c r="G7" s="302"/>
      <c r="H7" s="302"/>
      <c r="I7" s="302"/>
      <c r="J7" s="302"/>
      <c r="K7" s="302"/>
      <c r="L7" s="302"/>
      <c r="M7" s="302"/>
      <c r="N7" s="302"/>
      <c r="O7" s="302"/>
      <c r="P7" s="302"/>
      <c r="Q7" s="302"/>
      <c r="R7" s="302"/>
      <c r="S7" s="302"/>
      <c r="T7" s="302"/>
      <c r="U7" s="122"/>
    </row>
    <row r="8" spans="2:21" x14ac:dyDescent="0.25">
      <c r="B8" s="230"/>
      <c r="C8" s="302"/>
      <c r="D8" s="302"/>
      <c r="E8" s="302"/>
      <c r="F8" s="302"/>
      <c r="G8" s="302"/>
      <c r="H8" s="302"/>
      <c r="I8" s="302"/>
      <c r="J8" s="302"/>
      <c r="K8" s="302"/>
      <c r="L8" s="302"/>
      <c r="M8" s="302"/>
      <c r="N8" s="302"/>
      <c r="O8" s="302"/>
      <c r="P8" s="302"/>
      <c r="Q8" s="302"/>
      <c r="R8" s="302"/>
      <c r="S8" s="302"/>
      <c r="T8" s="302"/>
    </row>
    <row r="9" spans="2:21" ht="15" customHeight="1" x14ac:dyDescent="0.25">
      <c r="B9" s="218"/>
      <c r="C9" s="296" t="s">
        <v>303</v>
      </c>
      <c r="D9" s="296"/>
      <c r="E9" s="296"/>
      <c r="F9" s="296"/>
      <c r="G9" s="296"/>
      <c r="H9" s="296"/>
      <c r="I9" s="296"/>
      <c r="J9" s="296"/>
      <c r="K9" s="296"/>
      <c r="L9" s="296"/>
      <c r="M9" s="296"/>
      <c r="N9" s="296"/>
      <c r="O9" s="296"/>
      <c r="P9" s="296"/>
      <c r="Q9" s="296"/>
      <c r="R9" s="296"/>
      <c r="S9" s="296"/>
      <c r="T9" s="296"/>
    </row>
    <row r="10" spans="2:21" x14ac:dyDescent="0.25">
      <c r="B10" s="218"/>
      <c r="C10" s="296"/>
      <c r="D10" s="296"/>
      <c r="E10" s="296"/>
      <c r="F10" s="296"/>
      <c r="G10" s="296"/>
      <c r="H10" s="296"/>
      <c r="I10" s="296"/>
      <c r="J10" s="296"/>
      <c r="K10" s="296"/>
      <c r="L10" s="296"/>
      <c r="M10" s="296"/>
      <c r="N10" s="296"/>
      <c r="O10" s="296"/>
      <c r="P10" s="296"/>
      <c r="Q10" s="296"/>
      <c r="R10" s="296"/>
      <c r="S10" s="296"/>
      <c r="T10" s="296"/>
    </row>
    <row r="11" spans="2:21" x14ac:dyDescent="0.25">
      <c r="B11" s="218"/>
      <c r="C11" s="296"/>
      <c r="D11" s="296"/>
      <c r="E11" s="296"/>
      <c r="F11" s="296"/>
      <c r="G11" s="296"/>
      <c r="H11" s="296"/>
      <c r="I11" s="296"/>
      <c r="J11" s="296"/>
      <c r="K11" s="296"/>
      <c r="L11" s="296"/>
      <c r="M11" s="296"/>
      <c r="N11" s="296"/>
      <c r="O11" s="296"/>
      <c r="P11" s="296"/>
      <c r="Q11" s="296"/>
      <c r="R11" s="296"/>
      <c r="S11" s="296"/>
      <c r="T11" s="296"/>
    </row>
    <row r="12" spans="2:21" x14ac:dyDescent="0.25">
      <c r="B12" s="218"/>
      <c r="C12" s="296"/>
      <c r="D12" s="296"/>
      <c r="E12" s="296"/>
      <c r="F12" s="296"/>
      <c r="G12" s="296"/>
      <c r="H12" s="296"/>
      <c r="I12" s="296"/>
      <c r="J12" s="296"/>
      <c r="K12" s="296"/>
      <c r="L12" s="296"/>
      <c r="M12" s="296"/>
      <c r="N12" s="296"/>
      <c r="O12" s="296"/>
      <c r="P12" s="296"/>
      <c r="Q12" s="296"/>
      <c r="R12" s="296"/>
      <c r="S12" s="296"/>
      <c r="T12" s="296"/>
    </row>
    <row r="13" spans="2:21" x14ac:dyDescent="0.25">
      <c r="B13" s="218"/>
      <c r="C13" s="296"/>
      <c r="D13" s="296"/>
      <c r="E13" s="296"/>
      <c r="F13" s="296"/>
      <c r="G13" s="296"/>
      <c r="H13" s="296"/>
      <c r="I13" s="296"/>
      <c r="J13" s="296"/>
      <c r="K13" s="296"/>
      <c r="L13" s="296"/>
      <c r="M13" s="296"/>
      <c r="N13" s="296"/>
      <c r="O13" s="296"/>
      <c r="P13" s="296"/>
      <c r="Q13" s="296"/>
      <c r="R13" s="296"/>
      <c r="S13" s="296"/>
      <c r="T13" s="296"/>
    </row>
    <row r="14" spans="2:21" ht="15" customHeight="1" x14ac:dyDescent="0.25">
      <c r="B14" s="218"/>
      <c r="C14" s="133"/>
      <c r="D14" s="226"/>
      <c r="E14" s="226"/>
      <c r="F14" s="226"/>
      <c r="G14" s="226"/>
      <c r="H14" s="226"/>
      <c r="I14" s="226"/>
      <c r="J14" s="226"/>
      <c r="K14" s="226"/>
      <c r="L14" s="226"/>
      <c r="M14" s="226"/>
      <c r="N14" s="226"/>
      <c r="O14" s="226"/>
      <c r="P14" s="226"/>
      <c r="Q14" s="226"/>
      <c r="R14" s="226"/>
      <c r="S14" s="226"/>
      <c r="T14" s="226"/>
    </row>
    <row r="15" spans="2:21" ht="15" customHeight="1" x14ac:dyDescent="0.25">
      <c r="B15" s="218"/>
      <c r="C15" s="133" t="s">
        <v>262</v>
      </c>
      <c r="D15" s="296" t="s">
        <v>304</v>
      </c>
      <c r="E15" s="296"/>
      <c r="F15" s="296"/>
      <c r="G15" s="296"/>
      <c r="H15" s="296"/>
      <c r="I15" s="296"/>
      <c r="J15" s="296"/>
      <c r="K15" s="296"/>
      <c r="L15" s="296"/>
      <c r="M15" s="296"/>
      <c r="N15" s="296"/>
      <c r="O15" s="296"/>
      <c r="P15" s="296"/>
      <c r="Q15" s="296"/>
      <c r="R15" s="296"/>
      <c r="S15" s="296"/>
      <c r="T15" s="296"/>
    </row>
    <row r="16" spans="2:21" x14ac:dyDescent="0.25">
      <c r="B16" s="218"/>
      <c r="C16" s="133"/>
      <c r="D16" s="296"/>
      <c r="E16" s="296"/>
      <c r="F16" s="296"/>
      <c r="G16" s="296"/>
      <c r="H16" s="296"/>
      <c r="I16" s="296"/>
      <c r="J16" s="296"/>
      <c r="K16" s="296"/>
      <c r="L16" s="296"/>
      <c r="M16" s="296"/>
      <c r="N16" s="296"/>
      <c r="O16" s="296"/>
      <c r="P16" s="296"/>
      <c r="Q16" s="296"/>
      <c r="R16" s="296"/>
      <c r="S16" s="296"/>
      <c r="T16" s="296"/>
    </row>
    <row r="17" spans="2:20" x14ac:dyDescent="0.25">
      <c r="B17" s="218"/>
      <c r="C17" s="133"/>
      <c r="D17" s="296"/>
      <c r="E17" s="296"/>
      <c r="F17" s="296"/>
      <c r="G17" s="296"/>
      <c r="H17" s="296"/>
      <c r="I17" s="296"/>
      <c r="J17" s="296"/>
      <c r="K17" s="296"/>
      <c r="L17" s="296"/>
      <c r="M17" s="296"/>
      <c r="N17" s="296"/>
      <c r="O17" s="296"/>
      <c r="P17" s="296"/>
      <c r="Q17" s="296"/>
      <c r="R17" s="296"/>
      <c r="S17" s="296"/>
      <c r="T17" s="296"/>
    </row>
    <row r="18" spans="2:20" x14ac:dyDescent="0.25">
      <c r="B18" s="218"/>
      <c r="C18" s="133"/>
      <c r="D18" s="296"/>
      <c r="E18" s="296"/>
      <c r="F18" s="296"/>
      <c r="G18" s="296"/>
      <c r="H18" s="296"/>
      <c r="I18" s="296"/>
      <c r="J18" s="296"/>
      <c r="K18" s="296"/>
      <c r="L18" s="296"/>
      <c r="M18" s="296"/>
      <c r="N18" s="296"/>
      <c r="O18" s="296"/>
      <c r="P18" s="296"/>
      <c r="Q18" s="296"/>
      <c r="R18" s="296"/>
      <c r="S18" s="296"/>
      <c r="T18" s="296"/>
    </row>
    <row r="19" spans="2:20" x14ac:dyDescent="0.25">
      <c r="B19" s="218"/>
      <c r="C19" s="133"/>
      <c r="D19" s="296"/>
      <c r="E19" s="296"/>
      <c r="F19" s="296"/>
      <c r="G19" s="296"/>
      <c r="H19" s="296"/>
      <c r="I19" s="296"/>
      <c r="J19" s="296"/>
      <c r="K19" s="296"/>
      <c r="L19" s="296"/>
      <c r="M19" s="296"/>
      <c r="N19" s="296"/>
      <c r="O19" s="296"/>
      <c r="P19" s="296"/>
      <c r="Q19" s="296"/>
      <c r="R19" s="296"/>
      <c r="S19" s="296"/>
      <c r="T19" s="296"/>
    </row>
    <row r="20" spans="2:20" x14ac:dyDescent="0.25">
      <c r="B20" s="218"/>
      <c r="C20" s="133"/>
      <c r="D20" s="133"/>
      <c r="E20" s="133"/>
      <c r="F20" s="133"/>
      <c r="G20" s="133"/>
      <c r="H20" s="133"/>
      <c r="I20" s="133"/>
      <c r="J20" s="133"/>
      <c r="K20" s="133"/>
      <c r="L20" s="133"/>
      <c r="M20" s="133"/>
      <c r="N20" s="133"/>
      <c r="O20" s="133"/>
      <c r="P20" s="133"/>
      <c r="Q20" s="133"/>
      <c r="R20" s="133"/>
      <c r="S20" s="133"/>
      <c r="T20" s="133"/>
    </row>
    <row r="21" spans="2:20" x14ac:dyDescent="0.25">
      <c r="B21" s="218"/>
      <c r="C21" s="133"/>
      <c r="D21" s="133"/>
      <c r="E21" s="133"/>
      <c r="F21" s="133"/>
      <c r="G21" s="133"/>
      <c r="H21" s="133"/>
      <c r="I21" s="133"/>
      <c r="J21" s="133"/>
      <c r="K21" s="133"/>
      <c r="L21" s="133"/>
      <c r="M21" s="133"/>
      <c r="N21" s="133"/>
      <c r="O21" s="133"/>
      <c r="P21" s="133"/>
      <c r="Q21" s="133"/>
      <c r="R21" s="133"/>
      <c r="S21" s="133"/>
      <c r="T21" s="133"/>
    </row>
    <row r="22" spans="2:20" x14ac:dyDescent="0.25">
      <c r="B22" s="141" t="s">
        <v>260</v>
      </c>
      <c r="C22" s="297" t="s">
        <v>264</v>
      </c>
      <c r="D22" s="297"/>
      <c r="E22" s="297"/>
      <c r="F22" s="297"/>
      <c r="G22" s="297"/>
      <c r="H22" s="297"/>
      <c r="I22" s="297"/>
      <c r="J22" s="297"/>
      <c r="K22" s="297"/>
      <c r="L22" s="297"/>
      <c r="M22" s="297"/>
      <c r="N22" s="297"/>
      <c r="O22" s="297"/>
      <c r="P22" s="297"/>
      <c r="Q22" s="297"/>
      <c r="R22" s="297"/>
      <c r="S22" s="297"/>
      <c r="T22" s="297"/>
    </row>
    <row r="23" spans="2:20" x14ac:dyDescent="0.25">
      <c r="B23" s="218"/>
      <c r="C23" s="133"/>
      <c r="D23" s="133"/>
      <c r="E23" s="133"/>
      <c r="F23" s="133"/>
      <c r="G23" s="133"/>
      <c r="H23" s="133"/>
      <c r="I23" s="133"/>
      <c r="J23" s="133"/>
      <c r="K23" s="133"/>
      <c r="L23" s="133"/>
      <c r="M23" s="133"/>
      <c r="N23" s="133"/>
      <c r="O23" s="133"/>
      <c r="P23" s="133"/>
      <c r="Q23" s="133"/>
      <c r="R23" s="133"/>
      <c r="S23" s="133"/>
      <c r="T23" s="133"/>
    </row>
    <row r="24" spans="2:20" x14ac:dyDescent="0.25">
      <c r="B24" s="229" t="s">
        <v>261</v>
      </c>
      <c r="C24" s="296" t="s">
        <v>266</v>
      </c>
      <c r="D24" s="296"/>
      <c r="E24" s="296"/>
      <c r="F24" s="296"/>
      <c r="G24" s="296"/>
      <c r="H24" s="296"/>
      <c r="I24" s="296"/>
      <c r="J24" s="296"/>
      <c r="K24" s="296"/>
      <c r="L24" s="296"/>
      <c r="M24" s="296"/>
      <c r="N24" s="296"/>
      <c r="O24" s="296"/>
      <c r="P24" s="296"/>
      <c r="Q24" s="296"/>
      <c r="R24" s="296"/>
      <c r="S24" s="296"/>
      <c r="T24" s="296"/>
    </row>
    <row r="25" spans="2:20" x14ac:dyDescent="0.25">
      <c r="B25" s="224"/>
      <c r="C25" s="296"/>
      <c r="D25" s="296"/>
      <c r="E25" s="296"/>
      <c r="F25" s="296"/>
      <c r="G25" s="296"/>
      <c r="H25" s="296"/>
      <c r="I25" s="296"/>
      <c r="J25" s="296"/>
      <c r="K25" s="296"/>
      <c r="L25" s="296"/>
      <c r="M25" s="296"/>
      <c r="N25" s="296"/>
      <c r="O25" s="296"/>
      <c r="P25" s="296"/>
      <c r="Q25" s="296"/>
      <c r="R25" s="296"/>
      <c r="S25" s="296"/>
      <c r="T25" s="296"/>
    </row>
    <row r="26" spans="2:20" ht="15" customHeight="1" x14ac:dyDescent="0.25">
      <c r="B26" s="224"/>
      <c r="C26" s="296" t="s">
        <v>267</v>
      </c>
      <c r="D26" s="296"/>
      <c r="E26" s="296"/>
      <c r="F26" s="296"/>
      <c r="G26" s="296"/>
      <c r="H26" s="296"/>
      <c r="I26" s="296"/>
      <c r="J26" s="296"/>
      <c r="K26" s="296"/>
      <c r="L26" s="296"/>
      <c r="M26" s="296"/>
      <c r="N26" s="296"/>
      <c r="O26" s="296"/>
      <c r="P26" s="296"/>
      <c r="Q26" s="296"/>
      <c r="R26" s="296"/>
      <c r="S26" s="296"/>
      <c r="T26" s="296"/>
    </row>
    <row r="27" spans="2:20" x14ac:dyDescent="0.25">
      <c r="B27" s="224"/>
      <c r="C27" s="296"/>
      <c r="D27" s="296"/>
      <c r="E27" s="296"/>
      <c r="F27" s="296"/>
      <c r="G27" s="296"/>
      <c r="H27" s="296"/>
      <c r="I27" s="296"/>
      <c r="J27" s="296"/>
      <c r="K27" s="296"/>
      <c r="L27" s="296"/>
      <c r="M27" s="296"/>
      <c r="N27" s="296"/>
      <c r="O27" s="296"/>
      <c r="P27" s="296"/>
      <c r="Q27" s="296"/>
      <c r="R27" s="296"/>
      <c r="S27" s="296"/>
      <c r="T27" s="296"/>
    </row>
    <row r="28" spans="2:20" x14ac:dyDescent="0.25">
      <c r="B28" s="224"/>
      <c r="C28" s="296"/>
      <c r="D28" s="296"/>
      <c r="E28" s="296"/>
      <c r="F28" s="296"/>
      <c r="G28" s="296"/>
      <c r="H28" s="296"/>
      <c r="I28" s="296"/>
      <c r="J28" s="296"/>
      <c r="K28" s="296"/>
      <c r="L28" s="296"/>
      <c r="M28" s="296"/>
      <c r="N28" s="296"/>
      <c r="O28" s="296"/>
      <c r="P28" s="296"/>
      <c r="Q28" s="296"/>
      <c r="R28" s="296"/>
      <c r="S28" s="296"/>
      <c r="T28" s="296"/>
    </row>
    <row r="29" spans="2:20" x14ac:dyDescent="0.25">
      <c r="B29" s="224"/>
      <c r="C29" s="296"/>
      <c r="D29" s="296"/>
      <c r="E29" s="296"/>
      <c r="F29" s="296"/>
      <c r="G29" s="296"/>
      <c r="H29" s="296"/>
      <c r="I29" s="296"/>
      <c r="J29" s="296"/>
      <c r="K29" s="296"/>
      <c r="L29" s="296"/>
      <c r="M29" s="296"/>
      <c r="N29" s="296"/>
      <c r="O29" s="296"/>
      <c r="P29" s="296"/>
      <c r="Q29" s="296"/>
      <c r="R29" s="296"/>
      <c r="S29" s="296"/>
      <c r="T29" s="296"/>
    </row>
    <row r="30" spans="2:20" x14ac:dyDescent="0.25">
      <c r="B30" s="224"/>
      <c r="C30" s="296" t="s">
        <v>268</v>
      </c>
      <c r="D30" s="296"/>
      <c r="E30" s="296"/>
      <c r="F30" s="296"/>
      <c r="G30" s="296"/>
      <c r="H30" s="296"/>
      <c r="I30" s="296"/>
      <c r="J30" s="296"/>
      <c r="K30" s="296"/>
      <c r="L30" s="296"/>
      <c r="M30" s="296"/>
      <c r="N30" s="296"/>
      <c r="O30" s="296"/>
      <c r="P30" s="296"/>
      <c r="Q30" s="296"/>
      <c r="R30" s="296"/>
      <c r="S30" s="296"/>
      <c r="T30" s="296"/>
    </row>
    <row r="31" spans="2:20" x14ac:dyDescent="0.25">
      <c r="B31" s="224"/>
      <c r="C31" s="296"/>
      <c r="D31" s="296"/>
      <c r="E31" s="296"/>
      <c r="F31" s="296"/>
      <c r="G31" s="296"/>
      <c r="H31" s="296"/>
      <c r="I31" s="296"/>
      <c r="J31" s="296"/>
      <c r="K31" s="296"/>
      <c r="L31" s="296"/>
      <c r="M31" s="296"/>
      <c r="N31" s="296"/>
      <c r="O31" s="296"/>
      <c r="P31" s="296"/>
      <c r="Q31" s="296"/>
      <c r="R31" s="296"/>
      <c r="S31" s="296"/>
      <c r="T31" s="296"/>
    </row>
    <row r="32" spans="2:20" x14ac:dyDescent="0.25">
      <c r="B32" s="224"/>
      <c r="C32" s="296"/>
      <c r="D32" s="296"/>
      <c r="E32" s="296"/>
      <c r="F32" s="296"/>
      <c r="G32" s="296"/>
      <c r="H32" s="296"/>
      <c r="I32" s="296"/>
      <c r="J32" s="296"/>
      <c r="K32" s="296"/>
      <c r="L32" s="296"/>
      <c r="M32" s="296"/>
      <c r="N32" s="296"/>
      <c r="O32" s="296"/>
      <c r="P32" s="296"/>
      <c r="Q32" s="296"/>
      <c r="R32" s="296"/>
      <c r="S32" s="296"/>
      <c r="T32" s="296"/>
    </row>
    <row r="33" spans="2:20" x14ac:dyDescent="0.25">
      <c r="B33" s="218"/>
      <c r="C33" s="133"/>
      <c r="D33" s="133"/>
      <c r="E33" s="133"/>
      <c r="F33" s="133"/>
      <c r="G33" s="133"/>
      <c r="H33" s="133"/>
      <c r="I33" s="133"/>
      <c r="J33" s="133"/>
      <c r="K33" s="133"/>
      <c r="L33" s="133"/>
      <c r="M33" s="133"/>
      <c r="N33" s="133"/>
      <c r="O33" s="133"/>
      <c r="P33" s="133"/>
      <c r="Q33" s="133"/>
      <c r="R33" s="133"/>
      <c r="S33" s="133"/>
      <c r="T33" s="133"/>
    </row>
    <row r="34" spans="2:20" x14ac:dyDescent="0.25">
      <c r="B34" s="218"/>
      <c r="C34" s="133"/>
      <c r="D34" s="133"/>
      <c r="E34" s="133"/>
      <c r="F34" s="133"/>
      <c r="G34" s="133"/>
      <c r="H34" s="133"/>
      <c r="I34" s="133"/>
      <c r="J34" s="133"/>
      <c r="K34" s="133"/>
      <c r="L34" s="133"/>
      <c r="M34" s="133"/>
      <c r="N34" s="133"/>
      <c r="O34" s="133"/>
      <c r="P34" s="133"/>
      <c r="Q34" s="133"/>
      <c r="R34" s="133"/>
      <c r="S34" s="133"/>
      <c r="T34" s="133"/>
    </row>
    <row r="35" spans="2:20" x14ac:dyDescent="0.25">
      <c r="B35" s="141" t="s">
        <v>260</v>
      </c>
      <c r="C35" s="297" t="s">
        <v>269</v>
      </c>
      <c r="D35" s="297"/>
      <c r="E35" s="297"/>
      <c r="F35" s="297"/>
      <c r="G35" s="297"/>
      <c r="H35" s="297"/>
      <c r="I35" s="297"/>
      <c r="J35" s="297"/>
      <c r="K35" s="297"/>
      <c r="L35" s="297"/>
      <c r="M35" s="297"/>
      <c r="N35" s="297"/>
      <c r="O35" s="297"/>
      <c r="P35" s="297"/>
      <c r="Q35" s="297"/>
      <c r="R35" s="297"/>
      <c r="S35" s="297"/>
      <c r="T35" s="297"/>
    </row>
    <row r="36" spans="2:20" x14ac:dyDescent="0.25">
      <c r="B36" s="218"/>
      <c r="C36" s="133"/>
      <c r="D36" s="133"/>
      <c r="E36" s="133"/>
      <c r="F36" s="133"/>
      <c r="G36" s="133"/>
      <c r="H36" s="133"/>
      <c r="I36" s="133"/>
      <c r="J36" s="133"/>
      <c r="K36" s="133"/>
      <c r="L36" s="133"/>
      <c r="M36" s="133"/>
      <c r="N36" s="133"/>
      <c r="O36" s="133"/>
      <c r="P36" s="133"/>
      <c r="Q36" s="133"/>
      <c r="R36" s="133"/>
      <c r="S36" s="133"/>
      <c r="T36" s="133"/>
    </row>
    <row r="37" spans="2:20" x14ac:dyDescent="0.25">
      <c r="B37" s="229" t="s">
        <v>261</v>
      </c>
      <c r="C37" s="301" t="s">
        <v>270</v>
      </c>
      <c r="D37" s="301"/>
      <c r="E37" s="301"/>
      <c r="F37" s="301"/>
      <c r="G37" s="301"/>
      <c r="H37" s="301"/>
      <c r="I37" s="301"/>
      <c r="J37" s="301"/>
      <c r="K37" s="301"/>
      <c r="L37" s="301"/>
      <c r="M37" s="301"/>
      <c r="N37" s="301"/>
      <c r="O37" s="301"/>
      <c r="P37" s="301"/>
      <c r="Q37" s="301"/>
      <c r="R37" s="301"/>
      <c r="S37" s="301"/>
      <c r="T37" s="301"/>
    </row>
    <row r="38" spans="2:20" x14ac:dyDescent="0.25">
      <c r="B38" s="218"/>
      <c r="C38" s="296" t="s">
        <v>271</v>
      </c>
      <c r="D38" s="296"/>
      <c r="E38" s="296"/>
      <c r="F38" s="296"/>
      <c r="G38" s="296"/>
      <c r="H38" s="296"/>
      <c r="I38" s="296"/>
      <c r="J38" s="296"/>
      <c r="K38" s="296"/>
      <c r="L38" s="296"/>
      <c r="M38" s="296"/>
      <c r="N38" s="296"/>
      <c r="O38" s="296"/>
      <c r="P38" s="296"/>
      <c r="Q38" s="296"/>
      <c r="R38" s="296"/>
      <c r="S38" s="296"/>
      <c r="T38" s="296"/>
    </row>
    <row r="39" spans="2:20" x14ac:dyDescent="0.25">
      <c r="B39" s="218"/>
      <c r="C39" s="296"/>
      <c r="D39" s="296"/>
      <c r="E39" s="296"/>
      <c r="F39" s="296"/>
      <c r="G39" s="296"/>
      <c r="H39" s="296"/>
      <c r="I39" s="296"/>
      <c r="J39" s="296"/>
      <c r="K39" s="296"/>
      <c r="L39" s="296"/>
      <c r="M39" s="296"/>
      <c r="N39" s="296"/>
      <c r="O39" s="296"/>
      <c r="P39" s="296"/>
      <c r="Q39" s="296"/>
      <c r="R39" s="296"/>
      <c r="S39" s="296"/>
      <c r="T39" s="296"/>
    </row>
    <row r="40" spans="2:20" x14ac:dyDescent="0.25">
      <c r="B40" s="218"/>
      <c r="C40" s="296"/>
      <c r="D40" s="296"/>
      <c r="E40" s="296"/>
      <c r="F40" s="296"/>
      <c r="G40" s="296"/>
      <c r="H40" s="296"/>
      <c r="I40" s="296"/>
      <c r="J40" s="296"/>
      <c r="K40" s="296"/>
      <c r="L40" s="296"/>
      <c r="M40" s="296"/>
      <c r="N40" s="296"/>
      <c r="O40" s="296"/>
      <c r="P40" s="296"/>
      <c r="Q40" s="296"/>
      <c r="R40" s="296"/>
      <c r="S40" s="296"/>
      <c r="T40" s="296"/>
    </row>
    <row r="41" spans="2:20" x14ac:dyDescent="0.25">
      <c r="B41" s="218"/>
      <c r="C41" s="296"/>
      <c r="D41" s="296"/>
      <c r="E41" s="296"/>
      <c r="F41" s="296"/>
      <c r="G41" s="296"/>
      <c r="H41" s="296"/>
      <c r="I41" s="296"/>
      <c r="J41" s="296"/>
      <c r="K41" s="296"/>
      <c r="L41" s="296"/>
      <c r="M41" s="296"/>
      <c r="N41" s="296"/>
      <c r="O41" s="296"/>
      <c r="P41" s="296"/>
      <c r="Q41" s="296"/>
      <c r="R41" s="296"/>
      <c r="S41" s="296"/>
      <c r="T41" s="296"/>
    </row>
    <row r="42" spans="2:20" ht="17.25" x14ac:dyDescent="0.25">
      <c r="B42" s="218"/>
      <c r="C42" s="133"/>
      <c r="D42" s="133"/>
      <c r="E42" s="133"/>
      <c r="F42" s="133"/>
      <c r="G42" s="133"/>
      <c r="H42" s="133"/>
      <c r="I42" s="225"/>
      <c r="J42" s="133"/>
      <c r="K42" s="133"/>
      <c r="L42" s="133"/>
      <c r="M42" s="133"/>
      <c r="N42" s="133"/>
      <c r="O42" s="133"/>
      <c r="P42" s="133"/>
      <c r="Q42" s="133"/>
      <c r="R42" s="133"/>
      <c r="S42" s="133"/>
      <c r="T42" s="133"/>
    </row>
    <row r="43" spans="2:20" ht="17.25" x14ac:dyDescent="0.25">
      <c r="B43" s="218"/>
      <c r="C43" s="133"/>
      <c r="D43" s="133"/>
      <c r="E43" s="133"/>
      <c r="F43" s="133"/>
      <c r="G43" s="133"/>
      <c r="H43" s="133"/>
      <c r="I43" s="225"/>
      <c r="J43" s="133"/>
      <c r="K43" s="133"/>
      <c r="L43" s="133"/>
      <c r="M43" s="133"/>
      <c r="N43" s="133"/>
      <c r="O43" s="133"/>
      <c r="P43" s="133"/>
      <c r="Q43" s="133"/>
      <c r="R43" s="133"/>
      <c r="S43" s="133"/>
      <c r="T43" s="133"/>
    </row>
    <row r="44" spans="2:20" x14ac:dyDescent="0.25">
      <c r="B44" s="124" t="s">
        <v>260</v>
      </c>
      <c r="C44" s="297" t="s">
        <v>273</v>
      </c>
      <c r="D44" s="297"/>
      <c r="E44" s="297"/>
      <c r="F44" s="297"/>
      <c r="G44" s="297"/>
      <c r="H44" s="297"/>
      <c r="I44" s="297"/>
      <c r="J44" s="297"/>
      <c r="K44" s="297"/>
      <c r="L44" s="297"/>
      <c r="M44" s="297"/>
      <c r="N44" s="297"/>
      <c r="O44" s="297"/>
      <c r="P44" s="297"/>
      <c r="Q44" s="297"/>
      <c r="R44" s="297"/>
      <c r="S44" s="297"/>
      <c r="T44" s="297"/>
    </row>
    <row r="45" spans="2:20" x14ac:dyDescent="0.25">
      <c r="B45" s="218"/>
      <c r="C45" s="133"/>
      <c r="D45" s="133"/>
      <c r="E45" s="133"/>
      <c r="F45" s="133"/>
      <c r="G45" s="133"/>
      <c r="H45" s="133"/>
      <c r="I45" s="133"/>
      <c r="J45" s="133"/>
      <c r="K45" s="133"/>
      <c r="L45" s="133"/>
      <c r="M45" s="133"/>
      <c r="N45" s="133"/>
      <c r="O45" s="133"/>
      <c r="P45" s="133"/>
      <c r="Q45" s="133"/>
      <c r="R45" s="133"/>
      <c r="S45" s="133"/>
      <c r="T45" s="133"/>
    </row>
    <row r="46" spans="2:20" ht="15" customHeight="1" x14ac:dyDescent="0.25">
      <c r="B46" s="229" t="s">
        <v>261</v>
      </c>
      <c r="C46" s="296" t="s">
        <v>308</v>
      </c>
      <c r="D46" s="296"/>
      <c r="E46" s="296"/>
      <c r="F46" s="296"/>
      <c r="G46" s="296"/>
      <c r="H46" s="296"/>
      <c r="I46" s="296"/>
      <c r="J46" s="296"/>
      <c r="K46" s="296"/>
      <c r="L46" s="296"/>
      <c r="M46" s="296"/>
      <c r="N46" s="296"/>
      <c r="O46" s="296"/>
      <c r="P46" s="296"/>
      <c r="Q46" s="296"/>
      <c r="R46" s="296"/>
      <c r="S46" s="296"/>
      <c r="T46" s="296"/>
    </row>
    <row r="47" spans="2:20" x14ac:dyDescent="0.25">
      <c r="B47" s="218"/>
      <c r="C47" s="296"/>
      <c r="D47" s="296"/>
      <c r="E47" s="296"/>
      <c r="F47" s="296"/>
      <c r="G47" s="296"/>
      <c r="H47" s="296"/>
      <c r="I47" s="296"/>
      <c r="J47" s="296"/>
      <c r="K47" s="296"/>
      <c r="L47" s="296"/>
      <c r="M47" s="296"/>
      <c r="N47" s="296"/>
      <c r="O47" s="296"/>
      <c r="P47" s="296"/>
      <c r="Q47" s="296"/>
      <c r="R47" s="296"/>
      <c r="S47" s="296"/>
      <c r="T47" s="296"/>
    </row>
    <row r="48" spans="2:20" x14ac:dyDescent="0.25">
      <c r="B48" s="218"/>
      <c r="C48" s="296"/>
      <c r="D48" s="296"/>
      <c r="E48" s="296"/>
      <c r="F48" s="296"/>
      <c r="G48" s="296"/>
      <c r="H48" s="296"/>
      <c r="I48" s="296"/>
      <c r="J48" s="296"/>
      <c r="K48" s="296"/>
      <c r="L48" s="296"/>
      <c r="M48" s="296"/>
      <c r="N48" s="296"/>
      <c r="O48" s="296"/>
      <c r="P48" s="296"/>
      <c r="Q48" s="296"/>
      <c r="R48" s="296"/>
      <c r="S48" s="296"/>
      <c r="T48" s="296"/>
    </row>
    <row r="49" spans="2:20" x14ac:dyDescent="0.25">
      <c r="B49" s="218"/>
      <c r="C49" s="296"/>
      <c r="D49" s="296"/>
      <c r="E49" s="296"/>
      <c r="F49" s="296"/>
      <c r="G49" s="296"/>
      <c r="H49" s="296"/>
      <c r="I49" s="296"/>
      <c r="J49" s="296"/>
      <c r="K49" s="296"/>
      <c r="L49" s="296"/>
      <c r="M49" s="296"/>
      <c r="N49" s="296"/>
      <c r="O49" s="296"/>
      <c r="P49" s="296"/>
      <c r="Q49" s="296"/>
      <c r="R49" s="296"/>
      <c r="S49" s="296"/>
      <c r="T49" s="296"/>
    </row>
    <row r="50" spans="2:20" x14ac:dyDescent="0.25">
      <c r="B50" s="218"/>
      <c r="C50" s="296"/>
      <c r="D50" s="296"/>
      <c r="E50" s="296"/>
      <c r="F50" s="296"/>
      <c r="G50" s="296"/>
      <c r="H50" s="296"/>
      <c r="I50" s="296"/>
      <c r="J50" s="296"/>
      <c r="K50" s="296"/>
      <c r="L50" s="296"/>
      <c r="M50" s="296"/>
      <c r="N50" s="296"/>
      <c r="O50" s="296"/>
      <c r="P50" s="296"/>
      <c r="Q50" s="296"/>
      <c r="R50" s="296"/>
      <c r="S50" s="296"/>
      <c r="T50" s="296"/>
    </row>
    <row r="51" spans="2:20" x14ac:dyDescent="0.25">
      <c r="B51" s="218"/>
      <c r="C51" s="296"/>
      <c r="D51" s="296"/>
      <c r="E51" s="296"/>
      <c r="F51" s="296"/>
      <c r="G51" s="296"/>
      <c r="H51" s="296"/>
      <c r="I51" s="296"/>
      <c r="J51" s="296"/>
      <c r="K51" s="296"/>
      <c r="L51" s="296"/>
      <c r="M51" s="296"/>
      <c r="N51" s="296"/>
      <c r="O51" s="296"/>
      <c r="P51" s="296"/>
      <c r="Q51" s="296"/>
      <c r="R51" s="296"/>
      <c r="S51" s="296"/>
      <c r="T51" s="296"/>
    </row>
    <row r="52" spans="2:20" x14ac:dyDescent="0.25">
      <c r="B52" s="218"/>
      <c r="C52" s="296"/>
      <c r="D52" s="296"/>
      <c r="E52" s="296"/>
      <c r="F52" s="296"/>
      <c r="G52" s="296"/>
      <c r="H52" s="296"/>
      <c r="I52" s="296"/>
      <c r="J52" s="296"/>
      <c r="K52" s="296"/>
      <c r="L52" s="296"/>
      <c r="M52" s="296"/>
      <c r="N52" s="296"/>
      <c r="O52" s="296"/>
      <c r="P52" s="296"/>
      <c r="Q52" s="296"/>
      <c r="R52" s="296"/>
      <c r="S52" s="296"/>
      <c r="T52" s="296"/>
    </row>
    <row r="53" spans="2:20" x14ac:dyDescent="0.25">
      <c r="B53" s="218"/>
      <c r="C53" s="133"/>
      <c r="D53" s="133"/>
      <c r="E53" s="133"/>
      <c r="F53" s="133"/>
      <c r="G53" s="133"/>
      <c r="H53" s="133"/>
      <c r="I53" s="133"/>
      <c r="J53" s="133"/>
      <c r="K53" s="133"/>
      <c r="L53" s="133"/>
      <c r="M53" s="133"/>
      <c r="N53" s="133"/>
      <c r="O53" s="133"/>
      <c r="P53" s="133"/>
      <c r="Q53" s="133"/>
      <c r="R53" s="133"/>
      <c r="S53" s="133"/>
      <c r="T53" s="133"/>
    </row>
    <row r="54" spans="2:20" x14ac:dyDescent="0.25">
      <c r="B54" s="218"/>
      <c r="C54" s="133"/>
      <c r="D54" s="133"/>
      <c r="E54" s="133"/>
      <c r="F54" s="133"/>
      <c r="G54" s="133"/>
      <c r="H54" s="133"/>
      <c r="I54" s="133"/>
      <c r="J54" s="133"/>
      <c r="K54" s="133"/>
      <c r="L54" s="133"/>
      <c r="M54" s="133"/>
      <c r="N54" s="133"/>
      <c r="O54" s="133"/>
      <c r="P54" s="133"/>
      <c r="Q54" s="133"/>
      <c r="R54" s="133"/>
      <c r="S54" s="133"/>
      <c r="T54" s="133"/>
    </row>
    <row r="55" spans="2:20" x14ac:dyDescent="0.25">
      <c r="B55" s="124" t="s">
        <v>260</v>
      </c>
      <c r="C55" s="297" t="s">
        <v>275</v>
      </c>
      <c r="D55" s="297"/>
      <c r="E55" s="297"/>
      <c r="F55" s="297"/>
      <c r="G55" s="297"/>
      <c r="H55" s="297"/>
      <c r="I55" s="297"/>
      <c r="J55" s="297"/>
      <c r="K55" s="297"/>
      <c r="L55" s="297"/>
      <c r="M55" s="297"/>
      <c r="N55" s="297"/>
      <c r="O55" s="297"/>
      <c r="P55" s="297"/>
      <c r="Q55" s="297"/>
      <c r="R55" s="297"/>
      <c r="S55" s="297"/>
      <c r="T55" s="297"/>
    </row>
    <row r="56" spans="2:20" x14ac:dyDescent="0.25">
      <c r="B56" s="218"/>
      <c r="C56" s="133"/>
      <c r="D56" s="133"/>
      <c r="E56" s="133"/>
      <c r="F56" s="133"/>
      <c r="G56" s="133"/>
      <c r="H56" s="133"/>
      <c r="I56" s="133"/>
      <c r="J56" s="133"/>
      <c r="K56" s="133"/>
      <c r="L56" s="133"/>
      <c r="M56" s="133"/>
      <c r="N56" s="133"/>
      <c r="O56" s="133"/>
      <c r="P56" s="133"/>
      <c r="Q56" s="133"/>
      <c r="R56" s="133"/>
      <c r="S56" s="133"/>
      <c r="T56" s="133"/>
    </row>
    <row r="57" spans="2:20" ht="15" customHeight="1" x14ac:dyDescent="0.25">
      <c r="B57" s="229" t="s">
        <v>261</v>
      </c>
      <c r="C57" s="295" t="s">
        <v>283</v>
      </c>
      <c r="D57" s="295"/>
      <c r="E57" s="295"/>
      <c r="F57" s="295"/>
      <c r="G57" s="295"/>
      <c r="H57" s="295"/>
      <c r="I57" s="295"/>
      <c r="J57" s="295"/>
      <c r="K57" s="295"/>
      <c r="L57" s="295"/>
      <c r="M57" s="295"/>
      <c r="N57" s="295"/>
      <c r="O57" s="295"/>
      <c r="P57" s="295"/>
      <c r="Q57" s="295"/>
      <c r="R57" s="295"/>
      <c r="S57" s="295"/>
      <c r="T57" s="295"/>
    </row>
    <row r="58" spans="2:20" x14ac:dyDescent="0.25">
      <c r="B58" s="218"/>
      <c r="C58" s="295"/>
      <c r="D58" s="295"/>
      <c r="E58" s="295"/>
      <c r="F58" s="295"/>
      <c r="G58" s="295"/>
      <c r="H58" s="295"/>
      <c r="I58" s="295"/>
      <c r="J58" s="295"/>
      <c r="K58" s="295"/>
      <c r="L58" s="295"/>
      <c r="M58" s="295"/>
      <c r="N58" s="295"/>
      <c r="O58" s="295"/>
      <c r="P58" s="295"/>
      <c r="Q58" s="295"/>
      <c r="R58" s="295"/>
      <c r="S58" s="295"/>
      <c r="T58" s="295"/>
    </row>
    <row r="59" spans="2:20" x14ac:dyDescent="0.25">
      <c r="B59" s="218"/>
      <c r="C59" s="295"/>
      <c r="D59" s="295"/>
      <c r="E59" s="295"/>
      <c r="F59" s="295"/>
      <c r="G59" s="295"/>
      <c r="H59" s="295"/>
      <c r="I59" s="295"/>
      <c r="J59" s="295"/>
      <c r="K59" s="295"/>
      <c r="L59" s="295"/>
      <c r="M59" s="295"/>
      <c r="N59" s="295"/>
      <c r="O59" s="295"/>
      <c r="P59" s="295"/>
      <c r="Q59" s="295"/>
      <c r="R59" s="295"/>
      <c r="S59" s="295"/>
      <c r="T59" s="295"/>
    </row>
    <row r="60" spans="2:20" x14ac:dyDescent="0.25">
      <c r="B60" s="218"/>
      <c r="C60" s="133"/>
      <c r="D60" s="226"/>
      <c r="E60" s="226"/>
      <c r="F60" s="226"/>
      <c r="G60" s="226"/>
      <c r="H60" s="226"/>
      <c r="I60" s="226"/>
      <c r="J60" s="226"/>
      <c r="K60" s="226"/>
      <c r="L60" s="226"/>
      <c r="M60" s="226"/>
      <c r="N60" s="226"/>
      <c r="O60" s="226"/>
      <c r="P60" s="226"/>
      <c r="Q60" s="226"/>
      <c r="R60" s="226"/>
      <c r="S60" s="226"/>
      <c r="T60" s="226"/>
    </row>
    <row r="61" spans="2:20" x14ac:dyDescent="0.25">
      <c r="B61" s="218"/>
      <c r="C61" s="133"/>
      <c r="D61" s="226"/>
      <c r="E61" s="226"/>
      <c r="F61" s="226"/>
      <c r="G61" s="226"/>
      <c r="H61" s="226"/>
      <c r="I61" s="226"/>
      <c r="J61" s="226"/>
      <c r="K61" s="226"/>
      <c r="L61" s="226"/>
      <c r="M61" s="226"/>
      <c r="N61" s="226"/>
      <c r="O61" s="226"/>
      <c r="P61" s="226"/>
      <c r="Q61" s="226"/>
      <c r="R61" s="226"/>
      <c r="S61" s="226"/>
      <c r="T61" s="226"/>
    </row>
    <row r="62" spans="2:20" x14ac:dyDescent="0.25">
      <c r="B62" s="124" t="s">
        <v>260</v>
      </c>
      <c r="C62" s="297" t="s">
        <v>279</v>
      </c>
      <c r="D62" s="297"/>
      <c r="E62" s="297"/>
      <c r="F62" s="297"/>
      <c r="G62" s="297"/>
      <c r="H62" s="297"/>
      <c r="I62" s="297"/>
      <c r="J62" s="297"/>
      <c r="K62" s="297"/>
      <c r="L62" s="297"/>
      <c r="M62" s="297"/>
      <c r="N62" s="297"/>
      <c r="O62" s="297"/>
      <c r="P62" s="297"/>
      <c r="Q62" s="297"/>
      <c r="R62" s="297"/>
      <c r="S62" s="297"/>
      <c r="T62" s="297"/>
    </row>
    <row r="63" spans="2:20" x14ac:dyDescent="0.25">
      <c r="B63" s="218"/>
      <c r="C63" s="133"/>
      <c r="D63" s="226"/>
      <c r="E63" s="226"/>
      <c r="F63" s="226"/>
      <c r="G63" s="226"/>
      <c r="H63" s="226"/>
      <c r="I63" s="226"/>
      <c r="J63" s="226"/>
      <c r="K63" s="226"/>
      <c r="L63" s="226"/>
      <c r="M63" s="226"/>
      <c r="N63" s="226"/>
      <c r="O63" s="226"/>
      <c r="P63" s="226"/>
      <c r="Q63" s="226"/>
      <c r="R63" s="226"/>
      <c r="S63" s="226"/>
      <c r="T63" s="226"/>
    </row>
    <row r="64" spans="2:20" ht="15" customHeight="1" x14ac:dyDescent="0.25">
      <c r="B64" s="229" t="s">
        <v>261</v>
      </c>
      <c r="C64" s="298" t="s">
        <v>309</v>
      </c>
      <c r="D64" s="298"/>
      <c r="E64" s="298"/>
      <c r="F64" s="298"/>
      <c r="G64" s="298"/>
      <c r="H64" s="298"/>
      <c r="I64" s="298"/>
      <c r="J64" s="298"/>
      <c r="K64" s="298"/>
      <c r="L64" s="298"/>
      <c r="M64" s="298"/>
      <c r="N64" s="298"/>
      <c r="O64" s="298"/>
      <c r="P64" s="298"/>
      <c r="Q64" s="298"/>
      <c r="R64" s="298"/>
      <c r="S64" s="298"/>
      <c r="T64" s="298"/>
    </row>
    <row r="65" spans="2:20" x14ac:dyDescent="0.25">
      <c r="B65" s="218"/>
      <c r="C65" s="298"/>
      <c r="D65" s="298"/>
      <c r="E65" s="298"/>
      <c r="F65" s="298"/>
      <c r="G65" s="298"/>
      <c r="H65" s="298"/>
      <c r="I65" s="298"/>
      <c r="J65" s="298"/>
      <c r="K65" s="298"/>
      <c r="L65" s="298"/>
      <c r="M65" s="298"/>
      <c r="N65" s="298"/>
      <c r="O65" s="298"/>
      <c r="P65" s="298"/>
      <c r="Q65" s="298"/>
      <c r="R65" s="298"/>
      <c r="S65" s="298"/>
      <c r="T65" s="298"/>
    </row>
    <row r="66" spans="2:20" x14ac:dyDescent="0.25">
      <c r="B66" s="218"/>
      <c r="C66" s="298"/>
      <c r="D66" s="298"/>
      <c r="E66" s="298"/>
      <c r="F66" s="298"/>
      <c r="G66" s="298"/>
      <c r="H66" s="298"/>
      <c r="I66" s="298"/>
      <c r="J66" s="298"/>
      <c r="K66" s="298"/>
      <c r="L66" s="298"/>
      <c r="M66" s="298"/>
      <c r="N66" s="298"/>
      <c r="O66" s="298"/>
      <c r="P66" s="298"/>
      <c r="Q66" s="298"/>
      <c r="R66" s="298"/>
      <c r="S66" s="298"/>
      <c r="T66" s="298"/>
    </row>
    <row r="67" spans="2:20" x14ac:dyDescent="0.25">
      <c r="B67" s="218"/>
      <c r="C67" s="298"/>
      <c r="D67" s="298"/>
      <c r="E67" s="298"/>
      <c r="F67" s="298"/>
      <c r="G67" s="298"/>
      <c r="H67" s="298"/>
      <c r="I67" s="298"/>
      <c r="J67" s="298"/>
      <c r="K67" s="298"/>
      <c r="L67" s="298"/>
      <c r="M67" s="298"/>
      <c r="N67" s="298"/>
      <c r="O67" s="298"/>
      <c r="P67" s="298"/>
      <c r="Q67" s="298"/>
      <c r="R67" s="298"/>
      <c r="S67" s="298"/>
      <c r="T67" s="298"/>
    </row>
    <row r="68" spans="2:20" x14ac:dyDescent="0.25">
      <c r="B68" s="218"/>
      <c r="C68" s="133"/>
      <c r="D68" s="226"/>
      <c r="E68" s="226"/>
      <c r="F68" s="226"/>
      <c r="G68" s="226"/>
      <c r="H68" s="226"/>
      <c r="I68" s="226"/>
      <c r="J68" s="226"/>
      <c r="K68" s="226"/>
      <c r="L68" s="226"/>
      <c r="M68" s="226"/>
      <c r="N68" s="226"/>
      <c r="O68" s="226"/>
      <c r="P68" s="226"/>
      <c r="Q68" s="226"/>
      <c r="R68" s="226"/>
      <c r="S68" s="226"/>
      <c r="T68" s="226"/>
    </row>
    <row r="69" spans="2:20" x14ac:dyDescent="0.25">
      <c r="B69" s="218"/>
      <c r="C69" s="133"/>
      <c r="D69" s="133"/>
      <c r="E69" s="133"/>
      <c r="F69" s="133"/>
      <c r="G69" s="133"/>
      <c r="H69" s="133"/>
      <c r="I69" s="133"/>
      <c r="J69" s="133"/>
      <c r="K69" s="133"/>
      <c r="L69" s="133"/>
      <c r="M69" s="133"/>
      <c r="N69" s="133"/>
      <c r="O69" s="133"/>
      <c r="P69" s="133"/>
      <c r="Q69" s="133"/>
      <c r="R69" s="133"/>
      <c r="S69" s="133"/>
      <c r="T69" s="133"/>
    </row>
    <row r="70" spans="2:20" x14ac:dyDescent="0.25">
      <c r="B70" s="141" t="s">
        <v>260</v>
      </c>
      <c r="C70" s="297" t="s">
        <v>274</v>
      </c>
      <c r="D70" s="297"/>
      <c r="E70" s="297"/>
      <c r="F70" s="297"/>
      <c r="G70" s="297"/>
      <c r="H70" s="297"/>
      <c r="I70" s="297"/>
      <c r="J70" s="297"/>
      <c r="K70" s="297"/>
      <c r="L70" s="297"/>
      <c r="M70" s="297"/>
      <c r="N70" s="297"/>
      <c r="O70" s="297"/>
      <c r="P70" s="297"/>
      <c r="Q70" s="297"/>
      <c r="R70" s="297"/>
      <c r="S70" s="297"/>
      <c r="T70" s="297"/>
    </row>
    <row r="71" spans="2:20" x14ac:dyDescent="0.25">
      <c r="B71" s="218"/>
      <c r="C71" s="133"/>
      <c r="D71" s="133"/>
      <c r="E71" s="133"/>
      <c r="F71" s="133"/>
      <c r="G71" s="133"/>
      <c r="H71" s="133"/>
      <c r="I71" s="133"/>
      <c r="J71" s="133"/>
      <c r="K71" s="133"/>
      <c r="L71" s="133"/>
      <c r="M71" s="133"/>
      <c r="N71" s="133"/>
      <c r="O71" s="133"/>
      <c r="P71" s="133"/>
      <c r="Q71" s="133"/>
      <c r="R71" s="133"/>
      <c r="S71" s="133"/>
      <c r="T71" s="133"/>
    </row>
    <row r="72" spans="2:20" ht="15" customHeight="1" x14ac:dyDescent="0.25">
      <c r="B72" s="229" t="s">
        <v>261</v>
      </c>
      <c r="C72" s="295" t="s">
        <v>325</v>
      </c>
      <c r="D72" s="295"/>
      <c r="E72" s="295"/>
      <c r="F72" s="295"/>
      <c r="G72" s="295"/>
      <c r="H72" s="295"/>
      <c r="I72" s="295"/>
      <c r="J72" s="295"/>
      <c r="K72" s="295"/>
      <c r="L72" s="295"/>
      <c r="M72" s="295"/>
      <c r="N72" s="295"/>
      <c r="O72" s="295"/>
      <c r="P72" s="295"/>
      <c r="Q72" s="295"/>
      <c r="R72" s="295"/>
      <c r="S72" s="295"/>
      <c r="T72" s="295"/>
    </row>
    <row r="73" spans="2:20" x14ac:dyDescent="0.25">
      <c r="B73" s="218"/>
      <c r="C73" s="295"/>
      <c r="D73" s="295"/>
      <c r="E73" s="295"/>
      <c r="F73" s="295"/>
      <c r="G73" s="295"/>
      <c r="H73" s="295"/>
      <c r="I73" s="295"/>
      <c r="J73" s="295"/>
      <c r="K73" s="295"/>
      <c r="L73" s="295"/>
      <c r="M73" s="295"/>
      <c r="N73" s="295"/>
      <c r="O73" s="295"/>
      <c r="P73" s="295"/>
      <c r="Q73" s="295"/>
      <c r="R73" s="295"/>
      <c r="S73" s="295"/>
      <c r="T73" s="295"/>
    </row>
    <row r="74" spans="2:20" x14ac:dyDescent="0.25">
      <c r="B74" s="218"/>
      <c r="C74" s="295"/>
      <c r="D74" s="295"/>
      <c r="E74" s="295"/>
      <c r="F74" s="295"/>
      <c r="G74" s="295"/>
      <c r="H74" s="295"/>
      <c r="I74" s="295"/>
      <c r="J74" s="295"/>
      <c r="K74" s="295"/>
      <c r="L74" s="295"/>
      <c r="M74" s="295"/>
      <c r="N74" s="295"/>
      <c r="O74" s="295"/>
      <c r="P74" s="295"/>
      <c r="Q74" s="295"/>
      <c r="R74" s="295"/>
      <c r="S74" s="295"/>
      <c r="T74" s="295"/>
    </row>
    <row r="75" spans="2:20" x14ac:dyDescent="0.25">
      <c r="B75" s="218"/>
      <c r="C75" s="295"/>
      <c r="D75" s="295"/>
      <c r="E75" s="295"/>
      <c r="F75" s="295"/>
      <c r="G75" s="295"/>
      <c r="H75" s="295"/>
      <c r="I75" s="295"/>
      <c r="J75" s="295"/>
      <c r="K75" s="295"/>
      <c r="L75" s="295"/>
      <c r="M75" s="295"/>
      <c r="N75" s="295"/>
      <c r="O75" s="295"/>
      <c r="P75" s="295"/>
      <c r="Q75" s="295"/>
      <c r="R75" s="295"/>
      <c r="S75" s="295"/>
      <c r="T75" s="295"/>
    </row>
    <row r="76" spans="2:20" x14ac:dyDescent="0.25">
      <c r="B76" s="218"/>
      <c r="C76" s="295"/>
      <c r="D76" s="295"/>
      <c r="E76" s="295"/>
      <c r="F76" s="295"/>
      <c r="G76" s="295"/>
      <c r="H76" s="295"/>
      <c r="I76" s="295"/>
      <c r="J76" s="295"/>
      <c r="K76" s="295"/>
      <c r="L76" s="295"/>
      <c r="M76" s="295"/>
      <c r="N76" s="295"/>
      <c r="O76" s="295"/>
      <c r="P76" s="295"/>
      <c r="Q76" s="295"/>
      <c r="R76" s="295"/>
      <c r="S76" s="295"/>
      <c r="T76" s="295"/>
    </row>
    <row r="77" spans="2:20" x14ac:dyDescent="0.25">
      <c r="B77" s="218"/>
      <c r="C77" s="133"/>
      <c r="D77" s="133"/>
      <c r="E77" s="133"/>
      <c r="F77" s="133"/>
      <c r="G77" s="133"/>
      <c r="H77" s="133"/>
      <c r="I77" s="133"/>
      <c r="J77" s="133"/>
      <c r="K77" s="133"/>
      <c r="L77" s="133"/>
      <c r="M77" s="133"/>
      <c r="N77" s="133"/>
      <c r="O77" s="133"/>
      <c r="P77" s="133"/>
      <c r="Q77" s="133"/>
      <c r="R77" s="133"/>
      <c r="S77" s="133"/>
      <c r="T77" s="133"/>
    </row>
    <row r="78" spans="2:20" x14ac:dyDescent="0.25">
      <c r="B78" s="218"/>
      <c r="C78" s="133"/>
      <c r="D78" s="133"/>
      <c r="E78" s="133"/>
      <c r="F78" s="133"/>
      <c r="G78" s="133"/>
      <c r="H78" s="133"/>
      <c r="I78" s="133"/>
      <c r="J78" s="133"/>
      <c r="K78" s="133"/>
      <c r="L78" s="133"/>
      <c r="M78" s="133"/>
      <c r="N78" s="133"/>
      <c r="O78" s="133"/>
      <c r="P78" s="133"/>
      <c r="Q78" s="133"/>
      <c r="R78" s="133"/>
      <c r="S78" s="133"/>
      <c r="T78" s="133"/>
    </row>
    <row r="79" spans="2:20" x14ac:dyDescent="0.25">
      <c r="B79" s="218"/>
      <c r="C79" s="133"/>
      <c r="D79" s="133"/>
      <c r="E79" s="133"/>
      <c r="F79" s="133"/>
      <c r="G79" s="133"/>
      <c r="H79" s="133"/>
      <c r="I79" s="133"/>
      <c r="J79" s="133"/>
      <c r="K79" s="133"/>
      <c r="L79" s="133"/>
      <c r="M79" s="133"/>
      <c r="N79" s="133"/>
      <c r="O79" s="133"/>
      <c r="P79" s="133"/>
      <c r="Q79" s="133"/>
      <c r="R79" s="133"/>
      <c r="S79" s="133"/>
      <c r="T79" s="133"/>
    </row>
    <row r="80" spans="2:20" x14ac:dyDescent="0.25">
      <c r="B80" s="218"/>
      <c r="C80" s="133"/>
      <c r="D80" s="133"/>
      <c r="E80" s="133"/>
      <c r="F80" s="133"/>
      <c r="G80" s="133"/>
      <c r="H80" s="133"/>
      <c r="I80" s="133"/>
      <c r="J80" s="133"/>
      <c r="K80" s="133"/>
      <c r="L80" s="133"/>
      <c r="M80" s="133"/>
      <c r="N80" s="133"/>
      <c r="O80" s="133"/>
      <c r="P80" s="133"/>
      <c r="Q80" s="133"/>
      <c r="R80" s="133"/>
      <c r="S80" s="133"/>
      <c r="T80" s="133"/>
    </row>
    <row r="81" spans="2:20" x14ac:dyDescent="0.25">
      <c r="B81" s="218"/>
      <c r="C81" s="133"/>
      <c r="D81" s="133"/>
      <c r="E81" s="133"/>
      <c r="F81" s="133"/>
      <c r="G81" s="133"/>
      <c r="H81" s="133"/>
      <c r="I81" s="133"/>
      <c r="J81" s="133"/>
      <c r="K81" s="133"/>
      <c r="L81" s="133"/>
      <c r="M81" s="133"/>
      <c r="N81" s="133"/>
      <c r="O81" s="133"/>
      <c r="P81" s="133"/>
      <c r="Q81" s="133"/>
      <c r="R81" s="133"/>
      <c r="S81" s="218"/>
      <c r="T81" s="218" t="s">
        <v>280</v>
      </c>
    </row>
    <row r="82" spans="2:20" x14ac:dyDescent="0.25">
      <c r="B82" s="218"/>
      <c r="C82" s="133"/>
      <c r="D82" s="133"/>
      <c r="E82" s="133"/>
      <c r="F82" s="133"/>
      <c r="G82" s="133"/>
      <c r="H82" s="133"/>
      <c r="I82" s="133"/>
      <c r="J82" s="133"/>
      <c r="K82" s="133"/>
      <c r="L82" s="133"/>
      <c r="M82" s="133"/>
      <c r="N82" s="133"/>
      <c r="O82" s="133"/>
      <c r="P82" s="133"/>
      <c r="Q82" s="133"/>
      <c r="R82" s="133"/>
      <c r="S82" s="227"/>
      <c r="T82" s="228">
        <v>43850</v>
      </c>
    </row>
    <row r="83" spans="2:20" x14ac:dyDescent="0.25">
      <c r="B83" s="134"/>
    </row>
    <row r="84" spans="2:20" x14ac:dyDescent="0.25">
      <c r="C84"/>
    </row>
  </sheetData>
  <sheetProtection sheet="1" objects="1" scenarios="1" formatCells="0" formatColumns="0" formatRows="0"/>
  <mergeCells count="20">
    <mergeCell ref="B2:T2"/>
    <mergeCell ref="C35:T35"/>
    <mergeCell ref="C37:T37"/>
    <mergeCell ref="C38:T41"/>
    <mergeCell ref="C44:T44"/>
    <mergeCell ref="C5:T5"/>
    <mergeCell ref="C22:T22"/>
    <mergeCell ref="C24:T25"/>
    <mergeCell ref="C26:T29"/>
    <mergeCell ref="C30:T32"/>
    <mergeCell ref="C7:T8"/>
    <mergeCell ref="C9:T13"/>
    <mergeCell ref="D15:T19"/>
    <mergeCell ref="C72:T76"/>
    <mergeCell ref="C46:T52"/>
    <mergeCell ref="C70:T70"/>
    <mergeCell ref="C57:T59"/>
    <mergeCell ref="C55:T55"/>
    <mergeCell ref="C62:T62"/>
    <mergeCell ref="C64:T67"/>
  </mergeCells>
  <pageMargins left="0.51181102362204722" right="0.51181102362204722" top="0.39370078740157483" bottom="0.39370078740157483" header="0.31496062992125984" footer="0.31496062992125984"/>
  <pageSetup paperSize="9" scale="78"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8</vt:i4>
      </vt:variant>
      <vt:variant>
        <vt:lpstr>Pojmenované oblasti</vt:lpstr>
      </vt:variant>
      <vt:variant>
        <vt:i4>64</vt:i4>
      </vt:variant>
    </vt:vector>
  </HeadingPairs>
  <TitlesOfParts>
    <vt:vector size="72" baseType="lpstr">
      <vt:lpstr>TormekCalc</vt:lpstr>
      <vt:lpstr>Knives</vt:lpstr>
      <vt:lpstr>Tools</vt:lpstr>
      <vt:lpstr>BevelCalc</vt:lpstr>
      <vt:lpstr>EdgeCalc</vt:lpstr>
      <vt:lpstr>Jigs</vt:lpstr>
      <vt:lpstr>Settings</vt:lpstr>
      <vt:lpstr>FAQ</vt:lpstr>
      <vt:lpstr>ConstantHH</vt:lpstr>
      <vt:lpstr>ConstantHV</vt:lpstr>
      <vt:lpstr>ConstantVF</vt:lpstr>
      <vt:lpstr>ConstantVH</vt:lpstr>
      <vt:lpstr>ConstantVV</vt:lpstr>
      <vt:lpstr>DefaultConstantFVBBody</vt:lpstr>
      <vt:lpstr>DefaultConstantHH</vt:lpstr>
      <vt:lpstr>DefaultConstantHV</vt:lpstr>
      <vt:lpstr>DefaultConstantVF</vt:lpstr>
      <vt:lpstr>DefaultConstantVH</vt:lpstr>
      <vt:lpstr>DefaultConstantVV</vt:lpstr>
      <vt:lpstr>DefaultEdgeThickness</vt:lpstr>
      <vt:lpstr>DefaultFVBDistance</vt:lpstr>
      <vt:lpstr>DefaultGA</vt:lpstr>
      <vt:lpstr>DefaultJPL</vt:lpstr>
      <vt:lpstr>DefaultKJD</vt:lpstr>
      <vt:lpstr>DefaultTJD</vt:lpstr>
      <vt:lpstr>DefaultUSBDia</vt:lpstr>
      <vt:lpstr>DefaultWheelDia</vt:lpstr>
      <vt:lpstr>EmptyData</vt:lpstr>
      <vt:lpstr>FVBOffset</vt:lpstr>
      <vt:lpstr>InCellName01</vt:lpstr>
      <vt:lpstr>InCellName02</vt:lpstr>
      <vt:lpstr>MachinesAO</vt:lpstr>
      <vt:lpstr>MachinesCG</vt:lpstr>
      <vt:lpstr>MachinesConstantFVBBody</vt:lpstr>
      <vt:lpstr>MachinesConstantHF</vt:lpstr>
      <vt:lpstr>MachinesConstantHH</vt:lpstr>
      <vt:lpstr>MachinesConstantHV</vt:lpstr>
      <vt:lpstr>MachinesConstantVF</vt:lpstr>
      <vt:lpstr>MachinesConstantVH</vt:lpstr>
      <vt:lpstr>MachinesConstantVV</vt:lpstr>
      <vt:lpstr>MachinesUSBDia</vt:lpstr>
      <vt:lpstr>Max_H_HFUSB_105</vt:lpstr>
      <vt:lpstr>Max_H_HFUSB_430</vt:lpstr>
      <vt:lpstr>Max_H_VUSB_105</vt:lpstr>
      <vt:lpstr>Max_H_VUSB_430</vt:lpstr>
      <vt:lpstr>Min_FVB_Distance</vt:lpstr>
      <vt:lpstr>Min_H_HFUSB_105</vt:lpstr>
      <vt:lpstr>Min_H_HFUSB_430</vt:lpstr>
      <vt:lpstr>Min_H_VUSB_105</vt:lpstr>
      <vt:lpstr>Min_H_VUSB_430</vt:lpstr>
      <vt:lpstr>Knives!Názvy_tisku</vt:lpstr>
      <vt:lpstr>Tools!Názvy_tisku</vt:lpstr>
      <vt:lpstr>NotAvailable</vt:lpstr>
      <vt:lpstr>BevelCalc!Oblast_tisku</vt:lpstr>
      <vt:lpstr>EdgeCalc!Oblast_tisku</vt:lpstr>
      <vt:lpstr>FAQ!Oblast_tisku</vt:lpstr>
      <vt:lpstr>Jigs!Oblast_tisku</vt:lpstr>
      <vt:lpstr>Tools!Oblast_tisku</vt:lpstr>
      <vt:lpstr>TormekCalc!Oblast_tisku</vt:lpstr>
      <vt:lpstr>SetMachines</vt:lpstr>
      <vt:lpstr>SheetName01</vt:lpstr>
      <vt:lpstr>SheetName02</vt:lpstr>
      <vt:lpstr>VariableCG</vt:lpstr>
      <vt:lpstr>VariableDK</vt:lpstr>
      <vt:lpstr>VariableGA</vt:lpstr>
      <vt:lpstr>VariableJC</vt:lpstr>
      <vt:lpstr>VariableJG</vt:lpstr>
      <vt:lpstr>VariableJPL</vt:lpstr>
      <vt:lpstr>VariableJTD</vt:lpstr>
      <vt:lpstr>VariableUSBDia</vt:lpstr>
      <vt:lpstr>VariableVHF</vt:lpstr>
      <vt:lpstr>WheelsListX</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2019-03-14T18:49:12Z</dcterms:created>
  <dcterms:modified xsi:type="dcterms:W3CDTF">2020-01-23T22:22:33Z</dcterms:modified>
</cp:coreProperties>
</file>